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6D933B3E-F1CA-4F10-BD0A-2A5FF68035F4}" xr6:coauthVersionLast="47" xr6:coauthVersionMax="47" xr10:uidLastSave="{00000000-0000-0000-0000-000000000000}"/>
  <bookViews>
    <workbookView xWindow="-120" yWindow="-120" windowWidth="20730" windowHeight="11040" activeTab="2" xr2:uid="{C0893FBD-34B3-420E-B0D6-EC330180DDEA}"/>
  </bookViews>
  <sheets>
    <sheet name="SalesData" sheetId="3" r:id="rId1"/>
    <sheet name="Pivot Table" sheetId="4" r:id="rId2"/>
    <sheet name="DashBoard" sheetId="5"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9" i="3"/>
  <c r="K12" i="3"/>
  <c r="K6"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<sst xmlns="http://schemas.openxmlformats.org/spreadsheetml/2006/main" count="203" uniqueCount="38">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</sst>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quot;Rs.&quot;\ * #,##0_ ;_ &quot;Rs.&quot;\ * \-#,##0_ ;_ &quot;Rs.&quot;\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2" fillId="2" borderId="0" xfId="0" applyFont="1" applyFill="1" applyAlignment="1">
      <alignment horizontal="center" vertical="center"/>
    </xf>
    <xf numFmtId="0" fontId="0" fillId="0" borderId="0" xfId="0" pivotButton="1"/>
    <xf numFmtId="43" fontId="0" fillId="0" borderId="0" xfId="2" applyFont="1"/>
    <xf numFmtId="0" fontId="0" fillId="0" borderId="0" xfId="0" applyNumberFormat="1"/>
  </cellXfs>
  <cellStyles count="3">
    <cellStyle name="Comma" xfId="2" builtinId="3"/>
    <cellStyle name="Currency [0]" xfId="1" builtinId="7"/>
    <cellStyle name="Normal" xfId="0" builtinId="0"/>
  </cellStyles>
  <dxfs count="8">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Table!PivotTable2</c:name>
    <c:fmtId val="0"/>
  </c:pivotSource>
  <c:chart>
    <c:autoTitleDeleted val="1"/>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Table'!$D$3:$D$10</c:f>
              <c:strCache>
                <c:ptCount val="7"/>
                <c:pt idx="0">
                  <c:v>Action Figure</c:v>
                </c:pt>
                <c:pt idx="1">
                  <c:v>Blender</c:v>
                </c:pt>
                <c:pt idx="2">
                  <c:v>Moisturizer</c:v>
                </c:pt>
                <c:pt idx="3">
                  <c:v>Novel</c:v>
                </c:pt>
                <c:pt idx="4">
                  <c:v>Smartphone</c:v>
                </c:pt>
                <c:pt idx="5">
                  <c:v>Sneakers</c:v>
                </c:pt>
                <c:pt idx="6">
                  <c:v>Tent</c:v>
                </c:pt>
              </c:strCache>
            </c:strRef>
          </c:cat>
          <c:val>
            <c:numRef>
              <c:f>'Pivot Table'!$E$3:$E$10</c:f>
              <c:numCache>
                <c:formatCode>_ "Rs."\ * #,##0_ ;_ "Rs."\ * \-#,##0_ ;_ "Rs."\ * "-"_ ;_ @_ </c:formatCode>
                <c:ptCount val="7"/>
                <c:pt idx="0">
                  <c:v>547200</c:v>
                </c:pt>
                <c:pt idx="1">
                  <c:v>2222500</c:v>
                </c:pt>
                <c:pt idx="2">
                  <c:v>706800</c:v>
                </c:pt>
                <c:pt idx="3">
                  <c:v>898000</c:v>
                </c:pt>
                <c:pt idx="4">
                  <c:v>2350000</c:v>
                </c:pt>
                <c:pt idx="5">
                  <c:v>3196000</c:v>
                </c:pt>
                <c:pt idx="6">
                  <c:v>3024000</c:v>
                </c:pt>
              </c:numCache>
            </c:numRef>
          </c:val>
          <c:smooth val="0"/>
          <c:extLst>
            <c:ext xmlns:c16="http://schemas.microsoft.com/office/drawing/2014/chart" uri="{C3380CC4-5D6E-409C-BE32-E72D297353CC}">
              <c16:uniqueId val="{00000000-855F-4690-B5D1-B8AD6455C148}"/>
            </c:ext>
          </c:extLst>
        </c:ser>
        <c:dLbls>
          <c:dLblPos val="t"/>
          <c:showLegendKey val="0"/>
          <c:showVal val="1"/>
          <c:showCatName val="0"/>
          <c:showSerName val="0"/>
          <c:showPercent val="0"/>
          <c:showBubbleSize val="0"/>
        </c:dLbls>
        <c:marker val="1"/>
        <c:smooth val="0"/>
        <c:axId val="707653792"/>
        <c:axId val="492670160"/>
      </c:lineChart>
      <c:catAx>
        <c:axId val="70765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70160"/>
        <c:crosses val="autoZero"/>
        <c:auto val="1"/>
        <c:lblAlgn val="ctr"/>
        <c:lblOffset val="100"/>
        <c:noMultiLvlLbl val="0"/>
      </c:catAx>
      <c:valAx>
        <c:axId val="492670160"/>
        <c:scaling>
          <c:orientation val="minMax"/>
        </c:scaling>
        <c:delete val="1"/>
        <c:axPos val="l"/>
        <c:numFmt formatCode="_ &quot;Rs.&quot;\ * #,##0_ ;_ &quot;Rs.&quot;\ * \-#,##0_ ;_ &quot;Rs.&quot;\ * &quot;-&quot;_ ;_ @_ " sourceLinked="1"/>
        <c:majorTickMark val="out"/>
        <c:minorTickMark val="none"/>
        <c:tickLblPos val="nextTo"/>
        <c:crossAx val="7076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05"/>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666666666666666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555555555555558"/>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44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DCC-44B6-BBAA-F684149EE8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DCC-44B6-BBAA-F684149EE8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EDCC-44B6-BBAA-F684149EE8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CC-44B6-BBAA-F684149EE8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DCC-44B6-BBAA-F684149EE8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EDCC-44B6-BBAA-F684149EE8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4-EDCC-44B6-BBAA-F684149EE8BA}"/>
              </c:ext>
            </c:extLst>
          </c:dPt>
          <c:dLbls>
            <c:dLbl>
              <c:idx val="0"/>
              <c:layout>
                <c:manualLayout>
                  <c:x val="0.05"/>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CC-44B6-BBAA-F684149EE8BA}"/>
                </c:ext>
              </c:extLst>
            </c:dLbl>
            <c:dLbl>
              <c:idx val="1"/>
              <c:layout>
                <c:manualLayout>
                  <c:x val="0.10833333333333334"/>
                  <c:y val="-7.870370370370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CC-44B6-BBAA-F684149EE8BA}"/>
                </c:ext>
              </c:extLst>
            </c:dLbl>
            <c:dLbl>
              <c:idx val="2"/>
              <c:layout>
                <c:manualLayout>
                  <c:x val="9.4444444444444442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DCC-44B6-BBAA-F684149EE8BA}"/>
                </c:ext>
              </c:extLst>
            </c:dLbl>
            <c:dLbl>
              <c:idx val="3"/>
              <c:layout>
                <c:manualLayout>
                  <c:x val="-0.10555555555555558"/>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CC-44B6-BBAA-F684149EE8BA}"/>
                </c:ext>
              </c:extLst>
            </c:dLbl>
            <c:dLbl>
              <c:idx val="4"/>
              <c:layout>
                <c:manualLayout>
                  <c:x val="-0.1277777777777777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CC-44B6-BBAA-F684149EE8BA}"/>
                </c:ext>
              </c:extLst>
            </c:dLbl>
            <c:dLbl>
              <c:idx val="5"/>
              <c:layout>
                <c:manualLayout>
                  <c:x val="-0.12500000000000003"/>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CC-44B6-BBAA-F684149EE8BA}"/>
                </c:ext>
              </c:extLst>
            </c:dLbl>
            <c:dLbl>
              <c:idx val="6"/>
              <c:layout>
                <c:manualLayout>
                  <c:x val="-1.6666666666666666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CC-44B6-BBAA-F684149EE8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Table'!$G$3:$G$10</c:f>
              <c:strCache>
                <c:ptCount val="7"/>
                <c:pt idx="0">
                  <c:v>Action Figure</c:v>
                </c:pt>
                <c:pt idx="1">
                  <c:v>Blender</c:v>
                </c:pt>
                <c:pt idx="2">
                  <c:v>Moisturizer</c:v>
                </c:pt>
                <c:pt idx="3">
                  <c:v>Novel</c:v>
                </c:pt>
                <c:pt idx="4">
                  <c:v>Smartphone</c:v>
                </c:pt>
                <c:pt idx="5">
                  <c:v>Sneakers</c:v>
                </c:pt>
                <c:pt idx="6">
                  <c:v>Tent</c:v>
                </c:pt>
              </c:strCache>
            </c:strRef>
          </c:cat>
          <c:val>
            <c:numRef>
              <c:f>'Pivot Table'!$H$3:$H$10</c:f>
              <c:numCache>
                <c:formatCode>General</c:formatCode>
                <c:ptCount val="7"/>
                <c:pt idx="0">
                  <c:v>456</c:v>
                </c:pt>
                <c:pt idx="1">
                  <c:v>635</c:v>
                </c:pt>
                <c:pt idx="2">
                  <c:v>1178</c:v>
                </c:pt>
                <c:pt idx="3">
                  <c:v>898</c:v>
                </c:pt>
                <c:pt idx="4">
                  <c:v>235</c:v>
                </c:pt>
                <c:pt idx="5">
                  <c:v>799</c:v>
                </c:pt>
                <c:pt idx="6">
                  <c:v>504</c:v>
                </c:pt>
              </c:numCache>
            </c:numRef>
          </c:val>
          <c:extLst>
            <c:ext xmlns:c16="http://schemas.microsoft.com/office/drawing/2014/chart" uri="{C3380CC4-5D6E-409C-BE32-E72D297353CC}">
              <c16:uniqueId val="{00000000-EDCC-44B6-BBAA-F684149EE8BA}"/>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Table!PivotTable3</c:name>
    <c:fmtId val="1"/>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pivotFmt>
      <c:pivotFmt>
        <c:idx val="3"/>
        <c:spPr>
          <a:solidFill>
            <a:schemeClr val="accent6"/>
          </a:solidFill>
          <a:ln>
            <a:noFill/>
          </a:ln>
          <a:effectLst/>
          <a:sp3d/>
        </c:spPr>
      </c:pivotFmt>
      <c:pivotFmt>
        <c:idx val="4"/>
        <c:spPr>
          <a:solidFill>
            <a:schemeClr val="accent6"/>
          </a:solidFill>
          <a:ln>
            <a:noFill/>
          </a:ln>
          <a:effectLst/>
          <a:sp3d/>
        </c:spPr>
      </c:pivotFmt>
      <c:pivotFmt>
        <c:idx val="5"/>
        <c:spPr>
          <a:solidFill>
            <a:schemeClr val="accent6"/>
          </a:solidFill>
          <a:ln>
            <a:noFill/>
          </a:ln>
          <a:effectLst/>
          <a:sp3d/>
        </c:spPr>
      </c:pivotFmt>
      <c:pivotFmt>
        <c:idx val="6"/>
        <c:spPr>
          <a:solidFill>
            <a:schemeClr val="accent6"/>
          </a:solidFill>
          <a:ln>
            <a:noFill/>
          </a:ln>
          <a:effectLst/>
          <a:sp3d/>
        </c:spPr>
      </c:pivotFmt>
      <c:pivotFmt>
        <c:idx val="7"/>
        <c:spPr>
          <a:solidFill>
            <a:schemeClr val="accent6"/>
          </a:solidFill>
          <a:ln>
            <a:noFill/>
          </a:ln>
          <a:effectLst/>
          <a:sp3d/>
        </c:spPr>
      </c:pivotFmt>
      <c:pivotFmt>
        <c:idx val="8"/>
        <c:spPr>
          <a:solidFill>
            <a:schemeClr val="accent6"/>
          </a:solidFill>
          <a:ln>
            <a:noFill/>
          </a:ln>
          <a:effectLst/>
          <a:sp3d/>
        </c:spPr>
      </c:pivotFmt>
      <c:pivotFmt>
        <c:idx val="9"/>
        <c:spPr>
          <a:solidFill>
            <a:schemeClr val="accent6"/>
          </a:solidFill>
          <a:ln>
            <a:noFill/>
          </a:ln>
          <a:effectLst/>
          <a:sp3d/>
        </c:spPr>
      </c:pivotFmt>
      <c:pivotFmt>
        <c:idx val="10"/>
        <c:spPr>
          <a:solidFill>
            <a:schemeClr val="accent6"/>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Table'!$K$2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Table'!$J$3:$J$13</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Table'!$K$3:$K$13</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7E2A-4422-9E69-C64D22151F09}"/>
            </c:ext>
          </c:extLst>
        </c:ser>
        <c:dLbls>
          <c:showLegendKey val="0"/>
          <c:showVal val="1"/>
          <c:showCatName val="0"/>
          <c:showSerName val="0"/>
          <c:showPercent val="0"/>
          <c:showBubbleSize val="0"/>
        </c:dLbls>
        <c:gapWidth val="75"/>
        <c:shape val="box"/>
        <c:axId val="707684880"/>
        <c:axId val="492687920"/>
        <c:axId val="0"/>
      </c:bar3DChart>
      <c:catAx>
        <c:axId val="707684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87920"/>
        <c:crosses val="autoZero"/>
        <c:auto val="1"/>
        <c:lblAlgn val="ctr"/>
        <c:lblOffset val="100"/>
        <c:noMultiLvlLbl val="0"/>
      </c:catAx>
      <c:valAx>
        <c:axId val="492687920"/>
        <c:scaling>
          <c:orientation val="minMax"/>
        </c:scaling>
        <c:delete val="1"/>
        <c:axPos val="b"/>
        <c:numFmt formatCode="_ &quot;Rs.&quot;\ * #,##0_ ;_ &quot;Rs.&quot;\ * \-#,##0_ ;_ &quot;Rs.&quot;\ * &quot;-&quot;_ ;_ @_ " sourceLinked="1"/>
        <c:majorTickMark val="out"/>
        <c:minorTickMark val="none"/>
        <c:tickLblPos val="nextTo"/>
        <c:crossAx val="7076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Table!PivotTable5</c:name>
    <c:fmtId val="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dLbl>
          <c:idx val="0"/>
          <c:layout>
            <c:manualLayout>
              <c:x val="1.9444444444444445E-2"/>
              <c:y val="-0.43981481481481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dLbl>
          <c:idx val="0"/>
          <c:layout>
            <c:manualLayout>
              <c:x val="1.3888888888888888E-2"/>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1.6666666666666666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5-358D-41D7-9FA4-E79197EC4A39}"/>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4-358D-41D7-9FA4-E79197EC4A39}"/>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3-358D-41D7-9FA4-E79197EC4A39}"/>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2-358D-41D7-9FA4-E79197EC4A39}"/>
              </c:ext>
            </c:extLst>
          </c:dPt>
          <c:dLbls>
            <c:dLbl>
              <c:idx val="0"/>
              <c:layout>
                <c:manualLayout>
                  <c:x val="2.5000000000000001E-2"/>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8D-41D7-9FA4-E79197EC4A39}"/>
                </c:ext>
              </c:extLst>
            </c:dLbl>
            <c:dLbl>
              <c:idx val="1"/>
              <c:layout>
                <c:manualLayout>
                  <c:x val="1.6666666666666666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8D-41D7-9FA4-E79197EC4A39}"/>
                </c:ext>
              </c:extLst>
            </c:dLbl>
            <c:dLbl>
              <c:idx val="2"/>
              <c:layout>
                <c:manualLayout>
                  <c:x val="1.3888888888888888E-2"/>
                  <c:y val="-0.3564814814814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8D-41D7-9FA4-E79197EC4A39}"/>
                </c:ext>
              </c:extLst>
            </c:dLbl>
            <c:dLbl>
              <c:idx val="3"/>
              <c:layout>
                <c:manualLayout>
                  <c:x val="1.9444444444444445E-2"/>
                  <c:y val="-0.43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8D-41D7-9FA4-E79197EC4A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Table'!$A$3:$A$7</c:f>
              <c:strCache>
                <c:ptCount val="4"/>
                <c:pt idx="0">
                  <c:v>East</c:v>
                </c:pt>
                <c:pt idx="1">
                  <c:v>North</c:v>
                </c:pt>
                <c:pt idx="2">
                  <c:v>South</c:v>
                </c:pt>
                <c:pt idx="3">
                  <c:v>West</c:v>
                </c:pt>
              </c:strCache>
            </c:strRef>
          </c:cat>
          <c:val>
            <c:numRef>
              <c:f>'Pivot Table'!$B$3:$B$7</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358D-41D7-9FA4-E79197EC4A39}"/>
            </c:ext>
          </c:extLst>
        </c:ser>
        <c:dLbls>
          <c:showLegendKey val="0"/>
          <c:showVal val="1"/>
          <c:showCatName val="0"/>
          <c:showSerName val="0"/>
          <c:showPercent val="0"/>
          <c:showBubbleSize val="0"/>
        </c:dLbls>
        <c:gapWidth val="150"/>
        <c:shape val="box"/>
        <c:axId val="411481664"/>
        <c:axId val="337344784"/>
        <c:axId val="0"/>
      </c:bar3DChart>
      <c:catAx>
        <c:axId val="411481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44784"/>
        <c:crosses val="autoZero"/>
        <c:auto val="1"/>
        <c:lblAlgn val="ctr"/>
        <c:lblOffset val="100"/>
        <c:noMultiLvlLbl val="0"/>
      </c:catAx>
      <c:valAx>
        <c:axId val="337344784"/>
        <c:scaling>
          <c:orientation val="minMax"/>
        </c:scaling>
        <c:delete val="1"/>
        <c:axPos val="l"/>
        <c:numFmt formatCode="_ &quot;Rs.&quot;\ * #,##0_ ;_ &quot;Rs.&quot;\ * \-#,##0_ ;_ &quot;Rs.&quot;\ * &quot;-&quot;_ ;_ @_ " sourceLinked="1"/>
        <c:majorTickMark val="none"/>
        <c:minorTickMark val="none"/>
        <c:tickLblPos val="nextTo"/>
        <c:crossAx val="4114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Table!PivotTable4</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0833333333333334"/>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05"/>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1.6666666666666666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0555555555555558"/>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9.444444444444444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05"/>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0833333333333334"/>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9.444444444444444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0555555555555558"/>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1.6666666666666666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0.05"/>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dLbl>
          <c:idx val="0"/>
          <c:layout>
            <c:manualLayout>
              <c:x val="0.10833333333333334"/>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9.444444444444444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dLbl>
          <c:idx val="0"/>
          <c:layout>
            <c:manualLayout>
              <c:x val="-0.10555555555555558"/>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6666666666666666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Table'!$H$2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CFF-40A2-BE5D-78ADC981728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CFF-40A2-BE5D-78ADC981728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CFF-40A2-BE5D-78ADC9817281}"/>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CFF-40A2-BE5D-78ADC9817281}"/>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CFF-40A2-BE5D-78ADC9817281}"/>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2CFF-40A2-BE5D-78ADC9817281}"/>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2CFF-40A2-BE5D-78ADC9817281}"/>
              </c:ext>
            </c:extLst>
          </c:dPt>
          <c:dLbls>
            <c:dLbl>
              <c:idx val="0"/>
              <c:layout>
                <c:manualLayout>
                  <c:x val="0.05"/>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F-40A2-BE5D-78ADC9817281}"/>
                </c:ext>
              </c:extLst>
            </c:dLbl>
            <c:dLbl>
              <c:idx val="1"/>
              <c:layout>
                <c:manualLayout>
                  <c:x val="0.10833333333333334"/>
                  <c:y val="-7.870370370370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F-40A2-BE5D-78ADC9817281}"/>
                </c:ext>
              </c:extLst>
            </c:dLbl>
            <c:dLbl>
              <c:idx val="2"/>
              <c:layout>
                <c:manualLayout>
                  <c:x val="9.4444444444444442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FF-40A2-BE5D-78ADC9817281}"/>
                </c:ext>
              </c:extLst>
            </c:dLbl>
            <c:dLbl>
              <c:idx val="3"/>
              <c:layout>
                <c:manualLayout>
                  <c:x val="-0.10555555555555558"/>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F-40A2-BE5D-78ADC9817281}"/>
                </c:ext>
              </c:extLst>
            </c:dLbl>
            <c:dLbl>
              <c:idx val="4"/>
              <c:layout>
                <c:manualLayout>
                  <c:x val="-0.1277777777777777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FF-40A2-BE5D-78ADC9817281}"/>
                </c:ext>
              </c:extLst>
            </c:dLbl>
            <c:dLbl>
              <c:idx val="5"/>
              <c:layout>
                <c:manualLayout>
                  <c:x val="-0.12500000000000003"/>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FF-40A2-BE5D-78ADC9817281}"/>
                </c:ext>
              </c:extLst>
            </c:dLbl>
            <c:dLbl>
              <c:idx val="6"/>
              <c:layout>
                <c:manualLayout>
                  <c:x val="-1.6666666666666666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CFF-40A2-BE5D-78ADC981728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Table'!$G$3:$G$10</c:f>
              <c:strCache>
                <c:ptCount val="7"/>
                <c:pt idx="0">
                  <c:v>Action Figure</c:v>
                </c:pt>
                <c:pt idx="1">
                  <c:v>Blender</c:v>
                </c:pt>
                <c:pt idx="2">
                  <c:v>Moisturizer</c:v>
                </c:pt>
                <c:pt idx="3">
                  <c:v>Novel</c:v>
                </c:pt>
                <c:pt idx="4">
                  <c:v>Smartphone</c:v>
                </c:pt>
                <c:pt idx="5">
                  <c:v>Sneakers</c:v>
                </c:pt>
                <c:pt idx="6">
                  <c:v>Tent</c:v>
                </c:pt>
              </c:strCache>
            </c:strRef>
          </c:cat>
          <c:val>
            <c:numRef>
              <c:f>'Pivot Table'!$H$3:$H$10</c:f>
              <c:numCache>
                <c:formatCode>General</c:formatCode>
                <c:ptCount val="7"/>
                <c:pt idx="0">
                  <c:v>456</c:v>
                </c:pt>
                <c:pt idx="1">
                  <c:v>635</c:v>
                </c:pt>
                <c:pt idx="2">
                  <c:v>1178</c:v>
                </c:pt>
                <c:pt idx="3">
                  <c:v>898</c:v>
                </c:pt>
                <c:pt idx="4">
                  <c:v>235</c:v>
                </c:pt>
                <c:pt idx="5">
                  <c:v>799</c:v>
                </c:pt>
                <c:pt idx="6">
                  <c:v>504</c:v>
                </c:pt>
              </c:numCache>
            </c:numRef>
          </c:val>
          <c:extLst>
            <c:ext xmlns:c16="http://schemas.microsoft.com/office/drawing/2014/chart" uri="{C3380CC4-5D6E-409C-BE32-E72D297353CC}">
              <c16:uniqueId val="{0000000E-2CFF-40A2-BE5D-78ADC9817281}"/>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Table!PivotTable5</c:name>
    <c:fmtId val="5"/>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dLbl>
          <c:idx val="0"/>
          <c:layout>
            <c:manualLayout>
              <c:x val="1.9444444444444445E-2"/>
              <c:y val="-0.43981481481481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dLbl>
          <c:idx val="0"/>
          <c:layout>
            <c:manualLayout>
              <c:x val="1.3888888888888888E-2"/>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1.6666666666666666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1.6666666666666666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1.3888888888888888E-2"/>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1.9444444444444445E-2"/>
              <c:y val="-0.43981481481481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dLbl>
          <c:idx val="0"/>
          <c:layout>
            <c:manualLayout>
              <c:x val="1.6666666666666666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dLbl>
          <c:idx val="0"/>
          <c:layout>
            <c:manualLayout>
              <c:x val="1.3888888888888888E-2"/>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dLbl>
          <c:idx val="0"/>
          <c:layout>
            <c:manualLayout>
              <c:x val="1.9444444444444445E-2"/>
              <c:y val="-0.43981481481481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5.0925925925925923E-2"/>
          <c:w val="0.93888888888888888"/>
          <c:h val="0.84204505686789155"/>
        </c:manualLayout>
      </c:layout>
      <c:bar3DChart>
        <c:barDir val="col"/>
        <c:grouping val="stacked"/>
        <c:varyColors val="0"/>
        <c:ser>
          <c:idx val="0"/>
          <c:order val="0"/>
          <c:tx>
            <c:strRef>
              <c:f>'Pivot Table'!$B$2</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1-07F5-451E-8F73-A6327F8A3EBA}"/>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3-07F5-451E-8F73-A6327F8A3EBA}"/>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5-07F5-451E-8F73-A6327F8A3EBA}"/>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7-07F5-451E-8F73-A6327F8A3EBA}"/>
              </c:ext>
            </c:extLst>
          </c:dPt>
          <c:dLbls>
            <c:dLbl>
              <c:idx val="0"/>
              <c:layout>
                <c:manualLayout>
                  <c:x val="2.5000000000000001E-2"/>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F5-451E-8F73-A6327F8A3EBA}"/>
                </c:ext>
              </c:extLst>
            </c:dLbl>
            <c:dLbl>
              <c:idx val="1"/>
              <c:layout>
                <c:manualLayout>
                  <c:x val="1.6666666666666666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F5-451E-8F73-A6327F8A3EBA}"/>
                </c:ext>
              </c:extLst>
            </c:dLbl>
            <c:dLbl>
              <c:idx val="2"/>
              <c:layout>
                <c:manualLayout>
                  <c:x val="1.3888888888888888E-2"/>
                  <c:y val="-0.3564814814814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F5-451E-8F73-A6327F8A3EBA}"/>
                </c:ext>
              </c:extLst>
            </c:dLbl>
            <c:dLbl>
              <c:idx val="3"/>
              <c:layout>
                <c:manualLayout>
                  <c:x val="1.9444444444444445E-2"/>
                  <c:y val="-0.43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F5-451E-8F73-A6327F8A3E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Table'!$A$3:$A$7</c:f>
              <c:strCache>
                <c:ptCount val="4"/>
                <c:pt idx="0">
                  <c:v>East</c:v>
                </c:pt>
                <c:pt idx="1">
                  <c:v>North</c:v>
                </c:pt>
                <c:pt idx="2">
                  <c:v>South</c:v>
                </c:pt>
                <c:pt idx="3">
                  <c:v>West</c:v>
                </c:pt>
              </c:strCache>
            </c:strRef>
          </c:cat>
          <c:val>
            <c:numRef>
              <c:f>'Pivot Table'!$B$3:$B$7</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07F5-451E-8F73-A6327F8A3EBA}"/>
            </c:ext>
          </c:extLst>
        </c:ser>
        <c:dLbls>
          <c:showLegendKey val="0"/>
          <c:showVal val="1"/>
          <c:showCatName val="0"/>
          <c:showSerName val="0"/>
          <c:showPercent val="0"/>
          <c:showBubbleSize val="0"/>
        </c:dLbls>
        <c:gapWidth val="150"/>
        <c:shape val="box"/>
        <c:axId val="411481664"/>
        <c:axId val="337344784"/>
        <c:axId val="0"/>
      </c:bar3DChart>
      <c:catAx>
        <c:axId val="411481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44784"/>
        <c:crosses val="autoZero"/>
        <c:auto val="1"/>
        <c:lblAlgn val="ctr"/>
        <c:lblOffset val="100"/>
        <c:noMultiLvlLbl val="0"/>
      </c:catAx>
      <c:valAx>
        <c:axId val="337344784"/>
        <c:scaling>
          <c:orientation val="minMax"/>
        </c:scaling>
        <c:delete val="1"/>
        <c:axPos val="l"/>
        <c:numFmt formatCode="_ &quot;Rs.&quot;\ * #,##0_ ;_ &quot;Rs.&quot;\ * \-#,##0_ ;_ &quot;Rs.&quot;\ * &quot;-&quot;_ ;_ @_ " sourceLinked="1"/>
        <c:majorTickMark val="none"/>
        <c:minorTickMark val="none"/>
        <c:tickLblPos val="nextTo"/>
        <c:crossAx val="4114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Table!PivotTable2</c:name>
    <c:fmtId val="9"/>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Table'!$D$3:$D$10</c:f>
              <c:strCache>
                <c:ptCount val="7"/>
                <c:pt idx="0">
                  <c:v>Action Figure</c:v>
                </c:pt>
                <c:pt idx="1">
                  <c:v>Blender</c:v>
                </c:pt>
                <c:pt idx="2">
                  <c:v>Moisturizer</c:v>
                </c:pt>
                <c:pt idx="3">
                  <c:v>Novel</c:v>
                </c:pt>
                <c:pt idx="4">
                  <c:v>Smartphone</c:v>
                </c:pt>
                <c:pt idx="5">
                  <c:v>Sneakers</c:v>
                </c:pt>
                <c:pt idx="6">
                  <c:v>Tent</c:v>
                </c:pt>
              </c:strCache>
            </c:strRef>
          </c:cat>
          <c:val>
            <c:numRef>
              <c:f>'Pivot Table'!$E$3:$E$10</c:f>
              <c:numCache>
                <c:formatCode>_ "Rs."\ * #,##0_ ;_ "Rs."\ * \-#,##0_ ;_ "Rs."\ * "-"_ ;_ @_ </c:formatCode>
                <c:ptCount val="7"/>
                <c:pt idx="0">
                  <c:v>547200</c:v>
                </c:pt>
                <c:pt idx="1">
                  <c:v>2222500</c:v>
                </c:pt>
                <c:pt idx="2">
                  <c:v>706800</c:v>
                </c:pt>
                <c:pt idx="3">
                  <c:v>898000</c:v>
                </c:pt>
                <c:pt idx="4">
                  <c:v>2350000</c:v>
                </c:pt>
                <c:pt idx="5">
                  <c:v>3196000</c:v>
                </c:pt>
                <c:pt idx="6">
                  <c:v>3024000</c:v>
                </c:pt>
              </c:numCache>
            </c:numRef>
          </c:val>
          <c:smooth val="0"/>
          <c:extLst>
            <c:ext xmlns:c16="http://schemas.microsoft.com/office/drawing/2014/chart" uri="{C3380CC4-5D6E-409C-BE32-E72D297353CC}">
              <c16:uniqueId val="{00000000-1BCD-46B4-9E7D-0548FC10D894}"/>
            </c:ext>
          </c:extLst>
        </c:ser>
        <c:dLbls>
          <c:dLblPos val="t"/>
          <c:showLegendKey val="0"/>
          <c:showVal val="1"/>
          <c:showCatName val="0"/>
          <c:showSerName val="0"/>
          <c:showPercent val="0"/>
          <c:showBubbleSize val="0"/>
        </c:dLbls>
        <c:marker val="1"/>
        <c:smooth val="0"/>
        <c:axId val="707653792"/>
        <c:axId val="492670160"/>
      </c:lineChart>
      <c:catAx>
        <c:axId val="70765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70160"/>
        <c:crosses val="autoZero"/>
        <c:auto val="1"/>
        <c:lblAlgn val="ctr"/>
        <c:lblOffset val="100"/>
        <c:noMultiLvlLbl val="0"/>
      </c:catAx>
      <c:valAx>
        <c:axId val="492670160"/>
        <c:scaling>
          <c:orientation val="minMax"/>
        </c:scaling>
        <c:delete val="1"/>
        <c:axPos val="l"/>
        <c:numFmt formatCode="_ &quot;Rs.&quot;\ * #,##0_ ;_ &quot;Rs.&quot;\ * \-#,##0_ ;_ &quot;Rs.&quot;\ * &quot;-&quot;_ ;_ @_ " sourceLinked="1"/>
        <c:majorTickMark val="out"/>
        <c:minorTickMark val="none"/>
        <c:tickLblPos val="nextTo"/>
        <c:crossAx val="7076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Table!PivotTable3</c:name>
    <c:fmtId val="5"/>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pivotFmt>
      <c:pivotFmt>
        <c:idx val="3"/>
        <c:spPr>
          <a:solidFill>
            <a:schemeClr val="accent6"/>
          </a:solidFill>
          <a:ln>
            <a:noFill/>
          </a:ln>
          <a:effectLst/>
          <a:sp3d/>
        </c:spPr>
      </c:pivotFmt>
      <c:pivotFmt>
        <c:idx val="4"/>
        <c:spPr>
          <a:solidFill>
            <a:schemeClr val="accent6"/>
          </a:solidFill>
          <a:ln>
            <a:noFill/>
          </a:ln>
          <a:effectLst/>
          <a:sp3d/>
        </c:spPr>
      </c:pivotFmt>
      <c:pivotFmt>
        <c:idx val="5"/>
        <c:spPr>
          <a:solidFill>
            <a:schemeClr val="accent6"/>
          </a:solidFill>
          <a:ln>
            <a:noFill/>
          </a:ln>
          <a:effectLst/>
          <a:sp3d/>
        </c:spPr>
      </c:pivotFmt>
      <c:pivotFmt>
        <c:idx val="6"/>
        <c:spPr>
          <a:solidFill>
            <a:schemeClr val="accent6"/>
          </a:solidFill>
          <a:ln>
            <a:noFill/>
          </a:ln>
          <a:effectLst/>
          <a:sp3d/>
        </c:spPr>
      </c:pivotFmt>
      <c:pivotFmt>
        <c:idx val="7"/>
        <c:spPr>
          <a:solidFill>
            <a:schemeClr val="accent6"/>
          </a:solidFill>
          <a:ln>
            <a:noFill/>
          </a:ln>
          <a:effectLst/>
          <a:sp3d/>
        </c:spPr>
      </c:pivotFmt>
      <c:pivotFmt>
        <c:idx val="8"/>
        <c:spPr>
          <a:solidFill>
            <a:schemeClr val="accent6"/>
          </a:solidFill>
          <a:ln>
            <a:noFill/>
          </a:ln>
          <a:effectLst/>
          <a:sp3d/>
        </c:spPr>
      </c:pivotFmt>
      <c:pivotFmt>
        <c:idx val="9"/>
        <c:spPr>
          <a:solidFill>
            <a:schemeClr val="accent6"/>
          </a:solidFill>
          <a:ln>
            <a:noFill/>
          </a:ln>
          <a:effectLst/>
          <a:sp3d/>
        </c:spPr>
      </c:pivotFmt>
      <c:pivotFmt>
        <c:idx val="10"/>
        <c:spPr>
          <a:solidFill>
            <a:schemeClr val="accent6"/>
          </a:solidFill>
          <a:ln>
            <a:noFill/>
          </a:ln>
          <a:effectLst/>
          <a:sp3d/>
        </c:spPr>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6092435433635"/>
          <c:y val="5.0925925925925923E-2"/>
          <c:w val="0.83485567931655758"/>
          <c:h val="0.89814814814814814"/>
        </c:manualLayout>
      </c:layout>
      <c:bar3DChart>
        <c:barDir val="bar"/>
        <c:grouping val="stacked"/>
        <c:varyColors val="0"/>
        <c:ser>
          <c:idx val="0"/>
          <c:order val="0"/>
          <c:tx>
            <c:strRef>
              <c:f>'Pivot Table'!$K$2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Table'!$J$3:$J$13</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Table'!$K$3:$K$13</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7F80-4886-AC5C-060DD620D880}"/>
            </c:ext>
          </c:extLst>
        </c:ser>
        <c:dLbls>
          <c:showLegendKey val="0"/>
          <c:showVal val="1"/>
          <c:showCatName val="0"/>
          <c:showSerName val="0"/>
          <c:showPercent val="0"/>
          <c:showBubbleSize val="0"/>
        </c:dLbls>
        <c:gapWidth val="75"/>
        <c:shape val="box"/>
        <c:axId val="707684880"/>
        <c:axId val="492687920"/>
        <c:axId val="0"/>
      </c:bar3DChart>
      <c:catAx>
        <c:axId val="707684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87920"/>
        <c:crosses val="autoZero"/>
        <c:auto val="1"/>
        <c:lblAlgn val="ctr"/>
        <c:lblOffset val="100"/>
        <c:noMultiLvlLbl val="0"/>
      </c:catAx>
      <c:valAx>
        <c:axId val="492687920"/>
        <c:scaling>
          <c:orientation val="minMax"/>
        </c:scaling>
        <c:delete val="1"/>
        <c:axPos val="b"/>
        <c:numFmt formatCode="_ &quot;Rs.&quot;\ * #,##0_ ;_ &quot;Rs.&quot;\ * \-#,##0_ ;_ &quot;Rs.&quot;\ * &quot;-&quot;_ ;_ @_ " sourceLinked="1"/>
        <c:majorTickMark val="out"/>
        <c:minorTickMark val="none"/>
        <c:tickLblPos val="nextTo"/>
        <c:crossAx val="7076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266700</xdr:colOff>
      <xdr:row>14</xdr:row>
      <xdr:rowOff>4762</xdr:rowOff>
    </xdr:from>
    <xdr:to>
      <xdr:col>11</xdr:col>
      <xdr:colOff>885825</xdr:colOff>
      <xdr:row>28</xdr:row>
      <xdr:rowOff>80962</xdr:rowOff>
    </xdr:to>
    <xdr:graphicFrame macro="">
      <xdr:nvGraphicFramePr>
        <xdr:cNvPr id="3" name="Chart 2">
          <a:extLst>
            <a:ext uri="{FF2B5EF4-FFF2-40B4-BE49-F238E27FC236}">
              <a16:creationId xmlns:a16="http://schemas.microsoft.com/office/drawing/2014/main" id="{69AB3DD9-7433-F585-D74E-87B5BD9D1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795337</xdr:colOff>
      <xdr:row>30</xdr:row>
      <xdr:rowOff>4762</xdr:rowOff>
    </xdr:from>
    <xdr:to>
      <xdr:col>5</xdr:col>
      <xdr:colOff>604837</xdr:colOff>
      <xdr:row>44</xdr:row>
      <xdr:rowOff>80962</xdr:rowOff>
    </xdr:to>
    <xdr:graphicFrame macro="">
      <xdr:nvGraphicFramePr>
        <xdr:cNvPr id="4" name="Chart 3">
          <a:extLst>
            <a:ext uri="{FF2B5EF4-FFF2-40B4-BE49-F238E27FC236}">
              <a16:creationId xmlns:a16="http://schemas.microsoft.com/office/drawing/2014/main" id="{474E3021-10FF-DA03-4D7A-E6E1ED75F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276225</xdr:colOff>
      <xdr:row>30</xdr:row>
      <xdr:rowOff>23812</xdr:rowOff>
    </xdr:from>
    <xdr:to>
      <xdr:col>11</xdr:col>
      <xdr:colOff>885826</xdr:colOff>
      <xdr:row>44</xdr:row>
      <xdr:rowOff>100012</xdr:rowOff>
    </xdr:to>
    <xdr:graphicFrame macro="">
      <xdr:nvGraphicFramePr>
        <xdr:cNvPr id="6" name="Chart 5">
          <a:extLst>
            <a:ext uri="{FF2B5EF4-FFF2-40B4-BE49-F238E27FC236}">
              <a16:creationId xmlns:a16="http://schemas.microsoft.com/office/drawing/2014/main" id="{9FCB7B60-71BF-0FA5-2BF4-7AEF45C48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828675</xdr:colOff>
      <xdr:row>14</xdr:row>
      <xdr:rowOff>109537</xdr:rowOff>
    </xdr:from>
    <xdr:to>
      <xdr:col>6</xdr:col>
      <xdr:colOff>28575</xdr:colOff>
      <xdr:row>28</xdr:row>
      <xdr:rowOff>185737</xdr:rowOff>
    </xdr:to>
    <xdr:graphicFrame macro="">
      <xdr:nvGraphicFramePr>
        <xdr:cNvPr id="9" name="Chart 8">
          <a:extLst>
            <a:ext uri="{FF2B5EF4-FFF2-40B4-BE49-F238E27FC236}">
              <a16:creationId xmlns:a16="http://schemas.microsoft.com/office/drawing/2014/main" id="{DE1B1889-5BDC-C687-8EAC-581E90C44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142875</xdr:colOff>
      <xdr:row>11</xdr:row>
      <xdr:rowOff>57149</xdr:rowOff>
    </xdr:from>
    <xdr:to>
      <xdr:col>13</xdr:col>
      <xdr:colOff>466725</xdr:colOff>
      <xdr:row>28</xdr:row>
      <xdr:rowOff>142874</xdr:rowOff>
    </xdr:to>
    <xdr:sp macro="" textlink="">
      <xdr:nvSpPr>
        <xdr:cNvPr id="2" name="Rectangle: Rounded Corners 1">
          <a:extLst>
            <a:ext uri="{FF2B5EF4-FFF2-40B4-BE49-F238E27FC236}">
              <a16:creationId xmlns:a16="http://schemas.microsoft.com/office/drawing/2014/main" id="{FC9704EE-02D1-ADD1-5F02-513DE06B04A3}"/>
            </a:ext>
          </a:extLst>
        </xdr:cNvPr>
        <xdr:cNvSpPr/>
      </xdr:nvSpPr>
      <xdr:spPr>
        <a:xfrm>
          <a:off x="2581275" y="2152649"/>
          <a:ext cx="5810250" cy="3324225"/>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latin typeface="Amasis MT Pro" panose="02040504050005020304" pitchFamily="18" charset="0"/>
            </a:rPr>
            <a:t>Unit Sold by Product</a:t>
          </a:r>
        </a:p>
      </xdr:txBody>
    </xdr:sp>
    <xdr:clientData/>
  </xdr:twoCellAnchor>
  <xdr:twoCellAnchor>
    <xdr:from>
      <xdr:col>0</xdr:col>
      <xdr:colOff>95250</xdr:colOff>
      <xdr:row>5</xdr:row>
      <xdr:rowOff>161925</xdr:rowOff>
    </xdr:from>
    <xdr:to>
      <xdr:col>4</xdr:col>
      <xdr:colOff>142875</xdr:colOff>
      <xdr:row>10</xdr:row>
      <xdr:rowOff>118825</xdr:rowOff>
    </xdr:to>
    <xdr:grpSp>
      <xdr:nvGrpSpPr>
        <xdr:cNvPr id="7" name="Group 6">
          <a:extLst>
            <a:ext uri="{FF2B5EF4-FFF2-40B4-BE49-F238E27FC236}">
              <a16:creationId xmlns:a16="http://schemas.microsoft.com/office/drawing/2014/main" id="{12998A2D-50AD-A5D3-102A-F22C7427A80C}"/>
            </a:ext>
          </a:extLst>
        </xdr:cNvPr>
        <xdr:cNvGrpSpPr/>
      </xdr:nvGrpSpPr>
      <xdr:grpSpPr>
        <a:xfrm>
          <a:off x="95250" y="1114425"/>
          <a:ext cx="2472170" cy="909400"/>
          <a:chOff x="95250" y="1114425"/>
          <a:chExt cx="2486025" cy="909367"/>
        </a:xfrm>
      </xdr:grpSpPr>
      <xdr:sp macro="" textlink="">
        <xdr:nvSpPr>
          <xdr:cNvPr id="3" name="Rectangle: Rounded Corners 2">
            <a:extLst>
              <a:ext uri="{FF2B5EF4-FFF2-40B4-BE49-F238E27FC236}">
                <a16:creationId xmlns:a16="http://schemas.microsoft.com/office/drawing/2014/main" id="{27042355-E1D4-2DC3-2888-B6266CB9EC04}"/>
              </a:ext>
            </a:extLst>
          </xdr:cNvPr>
          <xdr:cNvSpPr/>
        </xdr:nvSpPr>
        <xdr:spPr>
          <a:xfrm>
            <a:off x="104774" y="1123792"/>
            <a:ext cx="2476501" cy="900000"/>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74070216-601E-484A-FA7A-0937E7A03E72}"/>
              </a:ext>
            </a:extLst>
          </xdr:cNvPr>
          <xdr:cNvSpPr/>
        </xdr:nvSpPr>
        <xdr:spPr>
          <a:xfrm>
            <a:off x="95250" y="1114425"/>
            <a:ext cx="733426" cy="900000"/>
          </a:xfrm>
          <a:prstGeom prst="roundRect">
            <a:avLst/>
          </a:prstGeom>
          <a:solidFill>
            <a:schemeClr val="accent6">
              <a:lumMod val="50000"/>
            </a:schemeClr>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lumMod val="50000"/>
                </a:schemeClr>
              </a:solidFill>
            </a:endParaRPr>
          </a:p>
        </xdr:txBody>
      </xdr:sp>
      <xdr:sp macro="" textlink="">
        <xdr:nvSpPr>
          <xdr:cNvPr id="5" name="TextBox 4">
            <a:extLst>
              <a:ext uri="{FF2B5EF4-FFF2-40B4-BE49-F238E27FC236}">
                <a16:creationId xmlns:a16="http://schemas.microsoft.com/office/drawing/2014/main" id="{7D08470C-EAD0-3137-463C-2A0D2E191D1A}"/>
              </a:ext>
            </a:extLst>
          </xdr:cNvPr>
          <xdr:cNvSpPr txBox="1"/>
        </xdr:nvSpPr>
        <xdr:spPr>
          <a:xfrm>
            <a:off x="942976" y="1181100"/>
            <a:ext cx="1304924"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6">
                    <a:lumMod val="50000"/>
                  </a:schemeClr>
                </a:solidFill>
                <a:latin typeface="Amasis MT Pro" panose="02040504050005020304" pitchFamily="18" charset="0"/>
              </a:rPr>
              <a:t>TOTAL SALES</a:t>
            </a:r>
          </a:p>
        </xdr:txBody>
      </xdr:sp>
      <xdr:sp macro="" textlink="SalesData!K3">
        <xdr:nvSpPr>
          <xdr:cNvPr id="6" name="TextBox 5">
            <a:extLst>
              <a:ext uri="{FF2B5EF4-FFF2-40B4-BE49-F238E27FC236}">
                <a16:creationId xmlns:a16="http://schemas.microsoft.com/office/drawing/2014/main" id="{BA88E332-8C0B-CE58-E642-1DE44F27BB03}"/>
              </a:ext>
            </a:extLst>
          </xdr:cNvPr>
          <xdr:cNvSpPr txBox="1"/>
        </xdr:nvSpPr>
        <xdr:spPr>
          <a:xfrm>
            <a:off x="984346" y="1584430"/>
            <a:ext cx="12668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85C0E4-72FF-4368-A113-5735459B2FE9}" type="TxLink">
              <a:rPr lang="en-US" sz="1200" b="1" i="0" u="none" strike="noStrike">
                <a:solidFill>
                  <a:schemeClr val="accent6">
                    <a:lumMod val="50000"/>
                  </a:schemeClr>
                </a:solidFill>
                <a:latin typeface="Aptos Narrow"/>
              </a:rPr>
              <a:pPr/>
              <a:t> 1,29,44,500.00 </a:t>
            </a:fld>
            <a:endParaRPr lang="en-IN" sz="1200" b="1">
              <a:solidFill>
                <a:schemeClr val="accent6">
                  <a:lumMod val="50000"/>
                </a:schemeClr>
              </a:solidFill>
            </a:endParaRPr>
          </a:p>
        </xdr:txBody>
      </xdr:sp>
    </xdr:grpSp>
    <xdr:clientData/>
  </xdr:twoCellAnchor>
  <xdr:twoCellAnchor>
    <xdr:from>
      <xdr:col>4</xdr:col>
      <xdr:colOff>368531</xdr:colOff>
      <xdr:row>5</xdr:row>
      <xdr:rowOff>130690</xdr:rowOff>
    </xdr:from>
    <xdr:to>
      <xdr:col>8</xdr:col>
      <xdr:colOff>506454</xdr:colOff>
      <xdr:row>10</xdr:row>
      <xdr:rowOff>134020</xdr:rowOff>
    </xdr:to>
    <xdr:grpSp>
      <xdr:nvGrpSpPr>
        <xdr:cNvPr id="13" name="Group 12">
          <a:extLst>
            <a:ext uri="{FF2B5EF4-FFF2-40B4-BE49-F238E27FC236}">
              <a16:creationId xmlns:a16="http://schemas.microsoft.com/office/drawing/2014/main" id="{7A27860C-9026-AF12-B59B-F1DBACC5EB8E}"/>
            </a:ext>
          </a:extLst>
        </xdr:cNvPr>
        <xdr:cNvGrpSpPr/>
      </xdr:nvGrpSpPr>
      <xdr:grpSpPr>
        <a:xfrm>
          <a:off x="2793076" y="1083190"/>
          <a:ext cx="2562469" cy="955830"/>
          <a:chOff x="120845" y="1083198"/>
          <a:chExt cx="2576101" cy="955738"/>
        </a:xfrm>
      </xdr:grpSpPr>
      <xdr:sp macro="" textlink="">
        <xdr:nvSpPr>
          <xdr:cNvPr id="14" name="Rectangle: Rounded Corners 13">
            <a:extLst>
              <a:ext uri="{FF2B5EF4-FFF2-40B4-BE49-F238E27FC236}">
                <a16:creationId xmlns:a16="http://schemas.microsoft.com/office/drawing/2014/main" id="{B54A1927-E09E-748A-C31F-F7A53AB6D795}"/>
              </a:ext>
            </a:extLst>
          </xdr:cNvPr>
          <xdr:cNvSpPr/>
        </xdr:nvSpPr>
        <xdr:spPr>
          <a:xfrm>
            <a:off x="220445" y="1138936"/>
            <a:ext cx="2476501" cy="900000"/>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16D11EAF-61F5-7F53-DF8D-B856E2D64FE6}"/>
              </a:ext>
            </a:extLst>
          </xdr:cNvPr>
          <xdr:cNvSpPr/>
        </xdr:nvSpPr>
        <xdr:spPr>
          <a:xfrm>
            <a:off x="120845" y="1083198"/>
            <a:ext cx="733426" cy="900000"/>
          </a:xfrm>
          <a:prstGeom prst="roundRect">
            <a:avLst/>
          </a:prstGeom>
          <a:solidFill>
            <a:schemeClr val="accent6">
              <a:lumMod val="50000"/>
            </a:schemeClr>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09114C7E-0FE9-EB58-EF4A-9EEBF19CDB8F}"/>
              </a:ext>
            </a:extLst>
          </xdr:cNvPr>
          <xdr:cNvSpPr txBox="1"/>
        </xdr:nvSpPr>
        <xdr:spPr>
          <a:xfrm>
            <a:off x="962025" y="1181100"/>
            <a:ext cx="1457325"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6">
                    <a:lumMod val="50000"/>
                  </a:schemeClr>
                </a:solidFill>
                <a:latin typeface="Amasis MT Pro" panose="02040504050005020304" pitchFamily="18" charset="0"/>
              </a:rPr>
              <a:t>AVERAGE</a:t>
            </a:r>
            <a:r>
              <a:rPr lang="en-IN" sz="1200" b="1" baseline="0">
                <a:solidFill>
                  <a:schemeClr val="accent1">
                    <a:lumMod val="75000"/>
                  </a:schemeClr>
                </a:solidFill>
                <a:latin typeface="Amasis MT Pro" panose="02040504050005020304" pitchFamily="18" charset="0"/>
              </a:rPr>
              <a:t> </a:t>
            </a:r>
            <a:r>
              <a:rPr lang="en-IN" sz="1200" b="1">
                <a:solidFill>
                  <a:schemeClr val="accent6">
                    <a:lumMod val="50000"/>
                  </a:schemeClr>
                </a:solidFill>
                <a:latin typeface="Amasis MT Pro" panose="02040504050005020304" pitchFamily="18" charset="0"/>
              </a:rPr>
              <a:t>SALES</a:t>
            </a:r>
          </a:p>
        </xdr:txBody>
      </xdr:sp>
      <xdr:sp macro="" textlink="SalesData!K12">
        <xdr:nvSpPr>
          <xdr:cNvPr id="17" name="TextBox 16">
            <a:extLst>
              <a:ext uri="{FF2B5EF4-FFF2-40B4-BE49-F238E27FC236}">
                <a16:creationId xmlns:a16="http://schemas.microsoft.com/office/drawing/2014/main" id="{A4D34DC1-A378-974A-C680-6A642B1329F4}"/>
              </a:ext>
            </a:extLst>
          </xdr:cNvPr>
          <xdr:cNvSpPr txBox="1"/>
        </xdr:nvSpPr>
        <xdr:spPr>
          <a:xfrm>
            <a:off x="1117697" y="1578184"/>
            <a:ext cx="1238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834236-45CE-4BEF-9C82-1B4D24911206}" type="TxLink">
              <a:rPr lang="en-US" sz="1200" b="1" i="0" u="none" strike="noStrike">
                <a:solidFill>
                  <a:schemeClr val="accent6">
                    <a:lumMod val="50000"/>
                  </a:schemeClr>
                </a:solidFill>
                <a:latin typeface="Amasis MT Pro" panose="02040504050005020304" pitchFamily="18" charset="0"/>
              </a:rPr>
              <a:pPr/>
              <a:t> 2,58,890.00 </a:t>
            </a:fld>
            <a:endParaRPr lang="en-IN" sz="1200" b="1">
              <a:solidFill>
                <a:schemeClr val="accent6">
                  <a:lumMod val="50000"/>
                </a:schemeClr>
              </a:solidFill>
              <a:latin typeface="Amasis MT Pro" panose="02040504050005020304" pitchFamily="18" charset="0"/>
            </a:endParaRPr>
          </a:p>
        </xdr:txBody>
      </xdr:sp>
    </xdr:grpSp>
    <xdr:clientData/>
  </xdr:twoCellAnchor>
  <xdr:twoCellAnchor>
    <xdr:from>
      <xdr:col>13</xdr:col>
      <xdr:colOff>228600</xdr:colOff>
      <xdr:row>5</xdr:row>
      <xdr:rowOff>161925</xdr:rowOff>
    </xdr:from>
    <xdr:to>
      <xdr:col>17</xdr:col>
      <xdr:colOff>276225</xdr:colOff>
      <xdr:row>10</xdr:row>
      <xdr:rowOff>109425</xdr:rowOff>
    </xdr:to>
    <xdr:grpSp>
      <xdr:nvGrpSpPr>
        <xdr:cNvPr id="18" name="Group 17">
          <a:extLst>
            <a:ext uri="{FF2B5EF4-FFF2-40B4-BE49-F238E27FC236}">
              <a16:creationId xmlns:a16="http://schemas.microsoft.com/office/drawing/2014/main" id="{3793BB34-3E8C-20FD-EC3C-302C5145385B}"/>
            </a:ext>
          </a:extLst>
        </xdr:cNvPr>
        <xdr:cNvGrpSpPr/>
      </xdr:nvGrpSpPr>
      <xdr:grpSpPr>
        <a:xfrm>
          <a:off x="8108373" y="1114425"/>
          <a:ext cx="2472170" cy="900000"/>
          <a:chOff x="95250" y="1114425"/>
          <a:chExt cx="2486025" cy="900000"/>
        </a:xfrm>
      </xdr:grpSpPr>
      <xdr:sp macro="" textlink="">
        <xdr:nvSpPr>
          <xdr:cNvPr id="19" name="Rectangle: Rounded Corners 18">
            <a:extLst>
              <a:ext uri="{FF2B5EF4-FFF2-40B4-BE49-F238E27FC236}">
                <a16:creationId xmlns:a16="http://schemas.microsoft.com/office/drawing/2014/main" id="{8344B65B-DF1D-ABC0-63EA-46D05C955763}"/>
              </a:ext>
            </a:extLst>
          </xdr:cNvPr>
          <xdr:cNvSpPr/>
        </xdr:nvSpPr>
        <xdr:spPr>
          <a:xfrm>
            <a:off x="104774" y="1114425"/>
            <a:ext cx="2476501" cy="900000"/>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1847427C-F5A2-DF5D-89BF-026F550D6857}"/>
              </a:ext>
            </a:extLst>
          </xdr:cNvPr>
          <xdr:cNvSpPr/>
        </xdr:nvSpPr>
        <xdr:spPr>
          <a:xfrm>
            <a:off x="95250" y="1114425"/>
            <a:ext cx="733426" cy="900000"/>
          </a:xfrm>
          <a:prstGeom prst="roundRect">
            <a:avLst/>
          </a:prstGeom>
          <a:solidFill>
            <a:schemeClr val="accent6">
              <a:lumMod val="50000"/>
            </a:schemeClr>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263FFBAC-CA67-D9F6-C742-359B4903D260}"/>
              </a:ext>
            </a:extLst>
          </xdr:cNvPr>
          <xdr:cNvSpPr txBox="1"/>
        </xdr:nvSpPr>
        <xdr:spPr>
          <a:xfrm>
            <a:off x="1190626" y="1190625"/>
            <a:ext cx="1190624"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6">
                    <a:lumMod val="50000"/>
                  </a:schemeClr>
                </a:solidFill>
                <a:latin typeface="Amasis MT Pro" panose="02040504050005020304" pitchFamily="18" charset="0"/>
              </a:rPr>
              <a:t>PROFIT</a:t>
            </a:r>
          </a:p>
        </xdr:txBody>
      </xdr:sp>
      <xdr:sp macro="" textlink="SalesData!K9">
        <xdr:nvSpPr>
          <xdr:cNvPr id="22" name="TextBox 21">
            <a:extLst>
              <a:ext uri="{FF2B5EF4-FFF2-40B4-BE49-F238E27FC236}">
                <a16:creationId xmlns:a16="http://schemas.microsoft.com/office/drawing/2014/main" id="{305C8945-5815-A750-E5D8-557E5D0E41DE}"/>
              </a:ext>
            </a:extLst>
          </xdr:cNvPr>
          <xdr:cNvSpPr txBox="1"/>
        </xdr:nvSpPr>
        <xdr:spPr>
          <a:xfrm>
            <a:off x="1019175" y="1590675"/>
            <a:ext cx="1238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25B817-B42D-4964-A372-B305BF017584}" type="TxLink">
              <a:rPr lang="en-US" sz="1200" b="1" i="0" u="none" strike="noStrike">
                <a:solidFill>
                  <a:schemeClr val="accent6">
                    <a:lumMod val="50000"/>
                  </a:schemeClr>
                </a:solidFill>
                <a:latin typeface="Amasis MT Pro" panose="02040504050005020304" pitchFamily="18" charset="0"/>
              </a:rPr>
              <a:pPr/>
              <a:t> 38,34,400.00 </a:t>
            </a:fld>
            <a:endParaRPr lang="en-IN" sz="1200" b="1">
              <a:solidFill>
                <a:schemeClr val="accent6">
                  <a:lumMod val="50000"/>
                </a:schemeClr>
              </a:solidFill>
              <a:latin typeface="Amasis MT Pro" panose="02040504050005020304" pitchFamily="18" charset="0"/>
            </a:endParaRPr>
          </a:p>
        </xdr:txBody>
      </xdr:sp>
    </xdr:grpSp>
    <xdr:clientData/>
  </xdr:twoCellAnchor>
  <xdr:twoCellAnchor>
    <xdr:from>
      <xdr:col>9</xdr:col>
      <xdr:colOff>28575</xdr:colOff>
      <xdr:row>5</xdr:row>
      <xdr:rowOff>161925</xdr:rowOff>
    </xdr:from>
    <xdr:to>
      <xdr:col>13</xdr:col>
      <xdr:colOff>76200</xdr:colOff>
      <xdr:row>10</xdr:row>
      <xdr:rowOff>109425</xdr:rowOff>
    </xdr:to>
    <xdr:grpSp>
      <xdr:nvGrpSpPr>
        <xdr:cNvPr id="23" name="Group 22">
          <a:extLst>
            <a:ext uri="{FF2B5EF4-FFF2-40B4-BE49-F238E27FC236}">
              <a16:creationId xmlns:a16="http://schemas.microsoft.com/office/drawing/2014/main" id="{B80C51D6-7A2E-3AB2-962F-D5A35C7A5352}"/>
            </a:ext>
          </a:extLst>
        </xdr:cNvPr>
        <xdr:cNvGrpSpPr/>
      </xdr:nvGrpSpPr>
      <xdr:grpSpPr>
        <a:xfrm>
          <a:off x="5483802" y="1114425"/>
          <a:ext cx="2472171" cy="900000"/>
          <a:chOff x="95250" y="1114425"/>
          <a:chExt cx="2486025" cy="900000"/>
        </a:xfrm>
      </xdr:grpSpPr>
      <xdr:sp macro="" textlink="">
        <xdr:nvSpPr>
          <xdr:cNvPr id="24" name="Rectangle: Rounded Corners 23">
            <a:extLst>
              <a:ext uri="{FF2B5EF4-FFF2-40B4-BE49-F238E27FC236}">
                <a16:creationId xmlns:a16="http://schemas.microsoft.com/office/drawing/2014/main" id="{FD4748B2-472A-BC51-6CFD-A64E51B9429A}"/>
              </a:ext>
            </a:extLst>
          </xdr:cNvPr>
          <xdr:cNvSpPr/>
        </xdr:nvSpPr>
        <xdr:spPr>
          <a:xfrm>
            <a:off x="104774" y="1114425"/>
            <a:ext cx="2476501" cy="900000"/>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81932500-17D2-5A9C-54A4-188D758F8A69}"/>
              </a:ext>
            </a:extLst>
          </xdr:cNvPr>
          <xdr:cNvSpPr/>
        </xdr:nvSpPr>
        <xdr:spPr>
          <a:xfrm>
            <a:off x="95250" y="1114425"/>
            <a:ext cx="733426" cy="900000"/>
          </a:xfrm>
          <a:prstGeom prst="roundRect">
            <a:avLst/>
          </a:prstGeom>
          <a:solidFill>
            <a:schemeClr val="accent6">
              <a:lumMod val="50000"/>
            </a:schemeClr>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6">
                  <a:lumMod val="50000"/>
                </a:schemeClr>
              </a:solidFill>
            </a:endParaRPr>
          </a:p>
        </xdr:txBody>
      </xdr:sp>
      <xdr:sp macro="" textlink="">
        <xdr:nvSpPr>
          <xdr:cNvPr id="26" name="TextBox 25">
            <a:extLst>
              <a:ext uri="{FF2B5EF4-FFF2-40B4-BE49-F238E27FC236}">
                <a16:creationId xmlns:a16="http://schemas.microsoft.com/office/drawing/2014/main" id="{0B389CBB-A002-DE71-E177-366BCDC638D3}"/>
              </a:ext>
            </a:extLst>
          </xdr:cNvPr>
          <xdr:cNvSpPr txBox="1"/>
        </xdr:nvSpPr>
        <xdr:spPr>
          <a:xfrm>
            <a:off x="1028701" y="1200150"/>
            <a:ext cx="119062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6">
                    <a:lumMod val="50000"/>
                  </a:schemeClr>
                </a:solidFill>
                <a:latin typeface="Amasis MT Pro" panose="02040504050005020304" pitchFamily="18" charset="0"/>
              </a:rPr>
              <a:t>UNIT</a:t>
            </a:r>
            <a:r>
              <a:rPr lang="en-IN" sz="1200" b="1" baseline="0">
                <a:solidFill>
                  <a:schemeClr val="accent6">
                    <a:lumMod val="50000"/>
                  </a:schemeClr>
                </a:solidFill>
                <a:latin typeface="Amasis MT Pro" panose="02040504050005020304" pitchFamily="18" charset="0"/>
              </a:rPr>
              <a:t> SOLD</a:t>
            </a:r>
            <a:endParaRPr lang="en-IN" sz="1200" b="1">
              <a:solidFill>
                <a:schemeClr val="accent6">
                  <a:lumMod val="50000"/>
                </a:schemeClr>
              </a:solidFill>
              <a:latin typeface="Amasis MT Pro" panose="02040504050005020304" pitchFamily="18" charset="0"/>
            </a:endParaRPr>
          </a:p>
        </xdr:txBody>
      </xdr:sp>
      <xdr:sp macro="" textlink="SalesData!K6">
        <xdr:nvSpPr>
          <xdr:cNvPr id="27" name="TextBox 26">
            <a:extLst>
              <a:ext uri="{FF2B5EF4-FFF2-40B4-BE49-F238E27FC236}">
                <a16:creationId xmlns:a16="http://schemas.microsoft.com/office/drawing/2014/main" id="{031CDEDF-296F-6543-31DF-FFB89ABEAD19}"/>
              </a:ext>
            </a:extLst>
          </xdr:cNvPr>
          <xdr:cNvSpPr txBox="1"/>
        </xdr:nvSpPr>
        <xdr:spPr>
          <a:xfrm>
            <a:off x="1123950" y="1590675"/>
            <a:ext cx="1238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A76F94-04E4-4CD4-B7BB-B6CA10959AA4}" type="TxLink">
              <a:rPr lang="en-US" sz="1200" b="1" i="0" u="none" strike="noStrike">
                <a:solidFill>
                  <a:schemeClr val="accent6">
                    <a:lumMod val="50000"/>
                  </a:schemeClr>
                </a:solidFill>
                <a:latin typeface="Amasis MT Pro" panose="02040504050005020304" pitchFamily="18" charset="0"/>
              </a:rPr>
              <a:pPr/>
              <a:t> 4,705.00 </a:t>
            </a:fld>
            <a:endParaRPr lang="en-IN" sz="1200" b="1">
              <a:solidFill>
                <a:schemeClr val="accent6">
                  <a:lumMod val="50000"/>
                </a:schemeClr>
              </a:solidFill>
              <a:latin typeface="Amasis MT Pro" panose="02040504050005020304" pitchFamily="18" charset="0"/>
            </a:endParaRPr>
          </a:p>
        </xdr:txBody>
      </xdr:sp>
    </xdr:grpSp>
    <xdr:clientData/>
  </xdr:twoCellAnchor>
  <xdr:twoCellAnchor editAs="oneCell">
    <xdr:from>
      <xdr:col>0</xdr:col>
      <xdr:colOff>171451</xdr:colOff>
      <xdr:row>6</xdr:row>
      <xdr:rowOff>114301</xdr:rowOff>
    </xdr:from>
    <xdr:to>
      <xdr:col>1</xdr:col>
      <xdr:colOff>161925</xdr:colOff>
      <xdr:row>9</xdr:row>
      <xdr:rowOff>142875</xdr:rowOff>
    </xdr:to>
    <xdr:pic>
      <xdr:nvPicPr>
        <xdr:cNvPr id="42" name="Graphic 41" descr="Rupee with solid fill">
          <a:extLst>
            <a:ext uri="{FF2B5EF4-FFF2-40B4-BE49-F238E27FC236}">
              <a16:creationId xmlns:a16="http://schemas.microsoft.com/office/drawing/2014/main" id="{3E73CACE-A9B5-7B8E-525D-2830A21A6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1" y="1257301"/>
          <a:ext cx="600074" cy="600074"/>
        </a:xfrm>
        <a:prstGeom prst="rect">
          <a:avLst/>
        </a:prstGeom>
      </xdr:spPr>
    </xdr:pic>
    <xdr:clientData/>
  </xdr:twoCellAnchor>
  <xdr:twoCellAnchor editAs="oneCell">
    <xdr:from>
      <xdr:col>4</xdr:col>
      <xdr:colOff>361951</xdr:colOff>
      <xdr:row>6</xdr:row>
      <xdr:rowOff>133351</xdr:rowOff>
    </xdr:from>
    <xdr:to>
      <xdr:col>5</xdr:col>
      <xdr:colOff>457201</xdr:colOff>
      <xdr:row>10</xdr:row>
      <xdr:rowOff>76201</xdr:rowOff>
    </xdr:to>
    <xdr:pic>
      <xdr:nvPicPr>
        <xdr:cNvPr id="44" name="Graphic 43" descr="Coins outline">
          <a:extLst>
            <a:ext uri="{FF2B5EF4-FFF2-40B4-BE49-F238E27FC236}">
              <a16:creationId xmlns:a16="http://schemas.microsoft.com/office/drawing/2014/main" id="{82530F58-0200-4DD0-2500-988E781EEB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00351" y="1276351"/>
          <a:ext cx="704850" cy="704850"/>
        </a:xfrm>
        <a:prstGeom prst="rect">
          <a:avLst/>
        </a:prstGeom>
      </xdr:spPr>
    </xdr:pic>
    <xdr:clientData/>
  </xdr:twoCellAnchor>
  <xdr:twoCellAnchor editAs="oneCell">
    <xdr:from>
      <xdr:col>13</xdr:col>
      <xdr:colOff>266700</xdr:colOff>
      <xdr:row>6</xdr:row>
      <xdr:rowOff>133350</xdr:rowOff>
    </xdr:from>
    <xdr:to>
      <xdr:col>14</xdr:col>
      <xdr:colOff>352425</xdr:colOff>
      <xdr:row>10</xdr:row>
      <xdr:rowOff>66675</xdr:rowOff>
    </xdr:to>
    <xdr:pic>
      <xdr:nvPicPr>
        <xdr:cNvPr id="46" name="Graphic 45" descr="Upward trend with solid fill">
          <a:extLst>
            <a:ext uri="{FF2B5EF4-FFF2-40B4-BE49-F238E27FC236}">
              <a16:creationId xmlns:a16="http://schemas.microsoft.com/office/drawing/2014/main" id="{69F7F377-037B-FDC1-8E6F-7357E223B1B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91500" y="1276350"/>
          <a:ext cx="695325" cy="695325"/>
        </a:xfrm>
        <a:prstGeom prst="rect">
          <a:avLst/>
        </a:prstGeom>
      </xdr:spPr>
    </xdr:pic>
    <xdr:clientData/>
  </xdr:twoCellAnchor>
  <xdr:twoCellAnchor editAs="oneCell">
    <xdr:from>
      <xdr:col>9</xdr:col>
      <xdr:colOff>57151</xdr:colOff>
      <xdr:row>6</xdr:row>
      <xdr:rowOff>114301</xdr:rowOff>
    </xdr:from>
    <xdr:to>
      <xdr:col>10</xdr:col>
      <xdr:colOff>152401</xdr:colOff>
      <xdr:row>10</xdr:row>
      <xdr:rowOff>57151</xdr:rowOff>
    </xdr:to>
    <xdr:pic>
      <xdr:nvPicPr>
        <xdr:cNvPr id="48" name="Graphic 47" descr="Good Inventory with solid fill">
          <a:extLst>
            <a:ext uri="{FF2B5EF4-FFF2-40B4-BE49-F238E27FC236}">
              <a16:creationId xmlns:a16="http://schemas.microsoft.com/office/drawing/2014/main" id="{863A0F54-1585-D98C-2EF7-F27005B049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43551" y="1257301"/>
          <a:ext cx="704850" cy="704850"/>
        </a:xfrm>
        <a:prstGeom prst="rect">
          <a:avLst/>
        </a:prstGeom>
      </xdr:spPr>
    </xdr:pic>
    <xdr:clientData/>
  </xdr:twoCellAnchor>
  <xdr:twoCellAnchor>
    <xdr:from>
      <xdr:col>5</xdr:col>
      <xdr:colOff>9525</xdr:colOff>
      <xdr:row>1</xdr:row>
      <xdr:rowOff>9525</xdr:rowOff>
    </xdr:from>
    <xdr:to>
      <xdr:col>14</xdr:col>
      <xdr:colOff>333375</xdr:colOff>
      <xdr:row>4</xdr:row>
      <xdr:rowOff>161925</xdr:rowOff>
    </xdr:to>
    <xdr:sp macro="" textlink="">
      <xdr:nvSpPr>
        <xdr:cNvPr id="49" name="TextBox 48">
          <a:extLst>
            <a:ext uri="{FF2B5EF4-FFF2-40B4-BE49-F238E27FC236}">
              <a16:creationId xmlns:a16="http://schemas.microsoft.com/office/drawing/2014/main" id="{D91861D4-7162-2F3D-F69A-A20659BCBA32}"/>
            </a:ext>
          </a:extLst>
        </xdr:cNvPr>
        <xdr:cNvSpPr txBox="1"/>
      </xdr:nvSpPr>
      <xdr:spPr>
        <a:xfrm>
          <a:off x="3057525" y="200025"/>
          <a:ext cx="5810250" cy="723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Amasis MT Pro" panose="02040504050005020304" pitchFamily="18" charset="0"/>
            </a:rPr>
            <a:t>SALES DASHBOARD</a:t>
          </a:r>
        </a:p>
      </xdr:txBody>
    </xdr:sp>
    <xdr:clientData/>
  </xdr:twoCellAnchor>
  <xdr:twoCellAnchor editAs="oneCell">
    <xdr:from>
      <xdr:col>0</xdr:col>
      <xdr:colOff>76200</xdr:colOff>
      <xdr:row>11</xdr:row>
      <xdr:rowOff>152400</xdr:rowOff>
    </xdr:from>
    <xdr:to>
      <xdr:col>4</xdr:col>
      <xdr:colOff>19050</xdr:colOff>
      <xdr:row>24</xdr:row>
      <xdr:rowOff>66675</xdr:rowOff>
    </xdr:to>
    <mc:AlternateContent xmlns:mc="http://schemas.openxmlformats.org/markup-compatibility/2006" xmlns:a14="http://schemas.microsoft.com/office/drawing/2010/main">
      <mc:Choice Requires="a14">
        <xdr:graphicFrame macro="">
          <xdr:nvGraphicFramePr>
            <xdr:cNvPr id="50" name="Product 1">
              <a:extLst>
                <a:ext uri="{FF2B5EF4-FFF2-40B4-BE49-F238E27FC236}">
                  <a16:creationId xmlns:a16="http://schemas.microsoft.com/office/drawing/2014/main" id="{42269D40-5A22-4BB0-B143-2B3E8394B4C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6200" y="2222030"/>
              <a:ext cx="2388776" cy="2360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347957</xdr:colOff>
      <xdr:row>5</xdr:row>
      <xdr:rowOff>58326</xdr:rowOff>
    </xdr:from>
    <xdr:to>
      <xdr:col>20</xdr:col>
      <xdr:colOff>347957</xdr:colOff>
      <xdr:row>10</xdr:row>
      <xdr:rowOff>141700</xdr:rowOff>
    </xdr:to>
    <mc:AlternateContent xmlns:mc="http://schemas.openxmlformats.org/markup-compatibility/2006">
      <mc:Choice xmlns:a14="http://schemas.microsoft.com/office/drawing/2010/main" Requires="a14">
        <xdr:graphicFrame macro="">
          <xdr:nvGraphicFramePr>
            <xdr:cNvPr id="51" name="Region">
              <a:extLst>
                <a:ext uri="{FF2B5EF4-FFF2-40B4-BE49-F238E27FC236}">
                  <a16:creationId xmlns:a16="http://schemas.microsoft.com/office/drawing/2014/main" id="{235D373A-C2D6-4CF7-A6B6-2B623514BA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52275" y="1010826"/>
              <a:ext cx="1818409" cy="103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142875</xdr:rowOff>
    </xdr:from>
    <xdr:to>
      <xdr:col>3</xdr:col>
      <xdr:colOff>76200</xdr:colOff>
      <xdr:row>42</xdr:row>
      <xdr:rowOff>28575</xdr:rowOff>
    </xdr:to>
    <mc:AlternateContent xmlns:mc="http://schemas.openxmlformats.org/markup-compatibility/2006" xmlns:a14="http://schemas.microsoft.com/office/drawing/2010/main">
      <mc:Choice Requires="a14">
        <xdr:graphicFrame macro="">
          <xdr:nvGraphicFramePr>
            <xdr:cNvPr id="52" name="Sales Person">
              <a:extLst>
                <a:ext uri="{FF2B5EF4-FFF2-40B4-BE49-F238E27FC236}">
                  <a16:creationId xmlns:a16="http://schemas.microsoft.com/office/drawing/2014/main" id="{94DAE56F-90E9-437D-AA5D-91BDD9C5914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76200" y="4658431"/>
              <a:ext cx="1834444" cy="3272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194147</xdr:colOff>
      <xdr:row>13</xdr:row>
      <xdr:rowOff>153575</xdr:rowOff>
    </xdr:from>
    <xdr:to>
      <xdr:col>12</xdr:col>
      <xdr:colOff>485776</xdr:colOff>
      <xdr:row>28</xdr:row>
      <xdr:rowOff>74553</xdr:rowOff>
    </xdr:to>
    <xdr:graphicFrame macro="">
      <xdr:nvGraphicFramePr>
        <xdr:cNvPr id="9" name="Chart 8">
          <a:extLst>
            <a:ext uri="{FF2B5EF4-FFF2-40B4-BE49-F238E27FC236}">
              <a16:creationId xmlns:a16="http://schemas.microsoft.com/office/drawing/2014/main" id="{A0615C3E-AA7F-4628-AA7F-9FDA8F711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389819</xdr:colOff>
      <xdr:row>11</xdr:row>
      <xdr:rowOff>45390</xdr:rowOff>
    </xdr:from>
    <xdr:to>
      <xdr:col>24</xdr:col>
      <xdr:colOff>102187</xdr:colOff>
      <xdr:row>28</xdr:row>
      <xdr:rowOff>131115</xdr:rowOff>
    </xdr:to>
    <xdr:sp macro="" textlink="">
      <xdr:nvSpPr>
        <xdr:cNvPr id="11" name="Rectangle: Rounded Corners 10">
          <a:extLst>
            <a:ext uri="{FF2B5EF4-FFF2-40B4-BE49-F238E27FC236}">
              <a16:creationId xmlns:a16="http://schemas.microsoft.com/office/drawing/2014/main" id="{B6C25CDC-2406-7306-BE0C-9370333CF0B6}"/>
            </a:ext>
          </a:extLst>
        </xdr:cNvPr>
        <xdr:cNvSpPr/>
      </xdr:nvSpPr>
      <xdr:spPr>
        <a:xfrm>
          <a:off x="8950560" y="2115020"/>
          <a:ext cx="5827183" cy="3284243"/>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latin typeface="Amasis MT Pro" panose="02040504050005020304" pitchFamily="18" charset="0"/>
            </a:rPr>
            <a:t>Total</a:t>
          </a:r>
          <a:r>
            <a:rPr lang="en-IN" sz="1400" b="1" baseline="0">
              <a:solidFill>
                <a:schemeClr val="accent6">
                  <a:lumMod val="50000"/>
                </a:schemeClr>
              </a:solidFill>
              <a:latin typeface="Amasis MT Pro" panose="02040504050005020304" pitchFamily="18" charset="0"/>
            </a:rPr>
            <a:t> Sales by Region</a:t>
          </a:r>
          <a:endParaRPr lang="en-IN" sz="1400" b="1">
            <a:solidFill>
              <a:schemeClr val="accent6">
                <a:lumMod val="50000"/>
              </a:schemeClr>
            </a:solidFill>
            <a:latin typeface="Amasis MT Pro" panose="02040504050005020304" pitchFamily="18" charset="0"/>
          </a:endParaRPr>
        </a:p>
      </xdr:txBody>
    </xdr:sp>
    <xdr:clientData/>
  </xdr:twoCellAnchor>
  <xdr:twoCellAnchor>
    <xdr:from>
      <xdr:col>15</xdr:col>
      <xdr:colOff>295746</xdr:colOff>
      <xdr:row>13</xdr:row>
      <xdr:rowOff>162983</xdr:rowOff>
    </xdr:from>
    <xdr:to>
      <xdr:col>22</xdr:col>
      <xdr:colOff>587375</xdr:colOff>
      <xdr:row>28</xdr:row>
      <xdr:rowOff>83961</xdr:rowOff>
    </xdr:to>
    <xdr:graphicFrame macro="">
      <xdr:nvGraphicFramePr>
        <xdr:cNvPr id="28" name="Chart 27">
          <a:extLst>
            <a:ext uri="{FF2B5EF4-FFF2-40B4-BE49-F238E27FC236}">
              <a16:creationId xmlns:a16="http://schemas.microsoft.com/office/drawing/2014/main" id="{74BBED8C-92FA-42DE-82AC-2DB66FCAF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142875</xdr:colOff>
      <xdr:row>29</xdr:row>
      <xdr:rowOff>174742</xdr:rowOff>
    </xdr:from>
    <xdr:to>
      <xdr:col>13</xdr:col>
      <xdr:colOff>466725</xdr:colOff>
      <xdr:row>47</xdr:row>
      <xdr:rowOff>72318</xdr:rowOff>
    </xdr:to>
    <xdr:sp macro="" textlink="">
      <xdr:nvSpPr>
        <xdr:cNvPr id="29" name="Rectangle: Rounded Corners 28">
          <a:extLst>
            <a:ext uri="{FF2B5EF4-FFF2-40B4-BE49-F238E27FC236}">
              <a16:creationId xmlns:a16="http://schemas.microsoft.com/office/drawing/2014/main" id="{59E879D8-0C76-9F1A-7A25-6F7E18C739F8}"/>
            </a:ext>
          </a:extLst>
        </xdr:cNvPr>
        <xdr:cNvSpPr/>
      </xdr:nvSpPr>
      <xdr:spPr>
        <a:xfrm>
          <a:off x="2588801" y="5631038"/>
          <a:ext cx="5827183" cy="3284243"/>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latin typeface="Amasis MT Pro" panose="02040504050005020304" pitchFamily="18" charset="0"/>
            </a:rPr>
            <a:t>Total Sales by Product</a:t>
          </a:r>
        </a:p>
      </xdr:txBody>
    </xdr:sp>
    <xdr:clientData/>
  </xdr:twoCellAnchor>
  <xdr:twoCellAnchor>
    <xdr:from>
      <xdr:col>5</xdr:col>
      <xdr:colOff>107597</xdr:colOff>
      <xdr:row>32</xdr:row>
      <xdr:rowOff>57148</xdr:rowOff>
    </xdr:from>
    <xdr:to>
      <xdr:col>12</xdr:col>
      <xdr:colOff>389701</xdr:colOff>
      <xdr:row>46</xdr:row>
      <xdr:rowOff>166274</xdr:rowOff>
    </xdr:to>
    <xdr:graphicFrame macro="">
      <xdr:nvGraphicFramePr>
        <xdr:cNvPr id="31" name="Chart 30">
          <a:extLst>
            <a:ext uri="{FF2B5EF4-FFF2-40B4-BE49-F238E27FC236}">
              <a16:creationId xmlns:a16="http://schemas.microsoft.com/office/drawing/2014/main" id="{C0430CB8-81BD-4C80-992A-24A289F03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331023</xdr:colOff>
      <xdr:row>29</xdr:row>
      <xdr:rowOff>174742</xdr:rowOff>
    </xdr:from>
    <xdr:to>
      <xdr:col>24</xdr:col>
      <xdr:colOff>43391</xdr:colOff>
      <xdr:row>47</xdr:row>
      <xdr:rowOff>72318</xdr:rowOff>
    </xdr:to>
    <xdr:sp macro="" textlink="">
      <xdr:nvSpPr>
        <xdr:cNvPr id="32" name="Rectangle: Rounded Corners 31">
          <a:extLst>
            <a:ext uri="{FF2B5EF4-FFF2-40B4-BE49-F238E27FC236}">
              <a16:creationId xmlns:a16="http://schemas.microsoft.com/office/drawing/2014/main" id="{93D7EDAE-7FE5-99EA-EF43-9CDAD8DBDF32}"/>
            </a:ext>
          </a:extLst>
        </xdr:cNvPr>
        <xdr:cNvSpPr/>
      </xdr:nvSpPr>
      <xdr:spPr>
        <a:xfrm>
          <a:off x="8891764" y="5631038"/>
          <a:ext cx="5827183" cy="3284243"/>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latin typeface="Amasis MT Pro" panose="02040504050005020304" pitchFamily="18" charset="0"/>
            </a:rPr>
            <a:t>Total Sales by Product</a:t>
          </a:r>
        </a:p>
      </xdr:txBody>
    </xdr:sp>
    <xdr:clientData/>
  </xdr:twoCellAnchor>
  <xdr:twoCellAnchor>
    <xdr:from>
      <xdr:col>14</xdr:col>
      <xdr:colOff>460375</xdr:colOff>
      <xdr:row>29</xdr:row>
      <xdr:rowOff>174742</xdr:rowOff>
    </xdr:from>
    <xdr:to>
      <xdr:col>24</xdr:col>
      <xdr:colOff>172743</xdr:colOff>
      <xdr:row>47</xdr:row>
      <xdr:rowOff>72318</xdr:rowOff>
    </xdr:to>
    <xdr:sp macro="" textlink="">
      <xdr:nvSpPr>
        <xdr:cNvPr id="33" name="Rectangle: Rounded Corners 32">
          <a:extLst>
            <a:ext uri="{FF2B5EF4-FFF2-40B4-BE49-F238E27FC236}">
              <a16:creationId xmlns:a16="http://schemas.microsoft.com/office/drawing/2014/main" id="{DDDC91CE-03D1-247F-948B-03361E96F6C2}"/>
            </a:ext>
          </a:extLst>
        </xdr:cNvPr>
        <xdr:cNvSpPr/>
      </xdr:nvSpPr>
      <xdr:spPr>
        <a:xfrm>
          <a:off x="9021116" y="5631038"/>
          <a:ext cx="5827183" cy="3284243"/>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latin typeface="Amasis MT Pro" panose="02040504050005020304" pitchFamily="18" charset="0"/>
            </a:rPr>
            <a:t>Total Sales by</a:t>
          </a:r>
          <a:r>
            <a:rPr lang="en-IN" sz="1400" b="1" baseline="0">
              <a:solidFill>
                <a:schemeClr val="accent6">
                  <a:lumMod val="50000"/>
                </a:schemeClr>
              </a:solidFill>
              <a:latin typeface="Amasis MT Pro" panose="02040504050005020304" pitchFamily="18" charset="0"/>
            </a:rPr>
            <a:t> Sales Person</a:t>
          </a:r>
          <a:endParaRPr lang="en-IN" sz="1400" b="1">
            <a:solidFill>
              <a:schemeClr val="accent6">
                <a:lumMod val="50000"/>
              </a:schemeClr>
            </a:solidFill>
            <a:latin typeface="Amasis MT Pro" panose="02040504050005020304" pitchFamily="18" charset="0"/>
          </a:endParaRPr>
        </a:p>
      </xdr:txBody>
    </xdr:sp>
    <xdr:clientData/>
  </xdr:twoCellAnchor>
  <xdr:twoCellAnchor>
    <xdr:from>
      <xdr:col>15</xdr:col>
      <xdr:colOff>378060</xdr:colOff>
      <xdr:row>32</xdr:row>
      <xdr:rowOff>92426</xdr:rowOff>
    </xdr:from>
    <xdr:to>
      <xdr:col>23</xdr:col>
      <xdr:colOff>39159</xdr:colOff>
      <xdr:row>47</xdr:row>
      <xdr:rowOff>13404</xdr:rowOff>
    </xdr:to>
    <xdr:graphicFrame macro="">
      <xdr:nvGraphicFramePr>
        <xdr:cNvPr id="35" name="Chart 34">
          <a:extLst>
            <a:ext uri="{FF2B5EF4-FFF2-40B4-BE49-F238E27FC236}">
              <a16:creationId xmlns:a16="http://schemas.microsoft.com/office/drawing/2014/main" id="{CEEAC6B3-8EEF-458D-B65A-D3EE1BB4E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3.877157407405" createdVersion="8" refreshedVersion="8" minRefreshableVersion="3" recordCount="50" xr:uid="{5B2959FA-A25A-47D3-8D51-8B3BE2026895}">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ount="40">
        <n v="84"/>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670138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x v="0"/>
    <n v="6000"/>
    <n v="4000"/>
    <n v="504000"/>
    <n v="168000"/>
  </r>
  <r>
    <d v="2021-09-07T00:00:00"/>
    <x v="1"/>
    <x v="1"/>
    <x v="1"/>
    <x v="1"/>
    <n v="3500"/>
    <n v="2500"/>
    <n v="448000"/>
    <n v="128000"/>
  </r>
  <r>
    <d v="2021-02-03T00:00:00"/>
    <x v="2"/>
    <x v="2"/>
    <x v="2"/>
    <x v="2"/>
    <n v="1200"/>
    <n v="800"/>
    <n v="163200"/>
    <n v="54400"/>
  </r>
  <r>
    <d v="2020-09-11T00:00:00"/>
    <x v="3"/>
    <x v="3"/>
    <x v="3"/>
    <x v="3"/>
    <n v="1000"/>
    <n v="700"/>
    <n v="91000"/>
    <n v="27300"/>
  </r>
  <r>
    <d v="2021-09-23T00:00:00"/>
    <x v="4"/>
    <x v="0"/>
    <x v="4"/>
    <x v="4"/>
    <n v="4000"/>
    <n v="3000"/>
    <n v="440000"/>
    <n v="110000"/>
  </r>
  <r>
    <d v="2020-10-01T00:00:00"/>
    <x v="5"/>
    <x v="1"/>
    <x v="2"/>
    <x v="5"/>
    <n v="1200"/>
    <n v="800"/>
    <n v="61200"/>
    <n v="20400"/>
  </r>
  <r>
    <d v="2021-08-05T00:00:00"/>
    <x v="6"/>
    <x v="3"/>
    <x v="3"/>
    <x v="6"/>
    <n v="1000"/>
    <n v="700"/>
    <n v="78000"/>
    <n v="23400"/>
  </r>
  <r>
    <d v="2020-11-06T00:00:00"/>
    <x v="7"/>
    <x v="2"/>
    <x v="0"/>
    <x v="7"/>
    <n v="6000"/>
    <n v="4000"/>
    <n v="876000"/>
    <n v="292000"/>
  </r>
  <r>
    <d v="2021-01-27T00:00:00"/>
    <x v="8"/>
    <x v="0"/>
    <x v="5"/>
    <x v="8"/>
    <n v="600"/>
    <n v="400"/>
    <n v="60600"/>
    <n v="20200"/>
  </r>
  <r>
    <d v="2021-09-03T00:00:00"/>
    <x v="9"/>
    <x v="2"/>
    <x v="0"/>
    <x v="9"/>
    <n v="6000"/>
    <n v="4000"/>
    <n v="312000"/>
    <n v="104000"/>
  </r>
  <r>
    <d v="2021-09-30T00:00:00"/>
    <x v="9"/>
    <x v="1"/>
    <x v="2"/>
    <x v="10"/>
    <n v="1200"/>
    <n v="800"/>
    <n v="66000"/>
    <n v="22000"/>
  </r>
  <r>
    <d v="2020-09-10T00:00:00"/>
    <x v="9"/>
    <x v="2"/>
    <x v="3"/>
    <x v="11"/>
    <n v="1000"/>
    <n v="700"/>
    <n v="137000"/>
    <n v="41100"/>
  </r>
  <r>
    <d v="2021-07-27T00:00:00"/>
    <x v="7"/>
    <x v="2"/>
    <x v="1"/>
    <x v="12"/>
    <n v="3500"/>
    <n v="2500"/>
    <n v="336000"/>
    <n v="96000"/>
  </r>
  <r>
    <d v="2020-10-09T00:00:00"/>
    <x v="8"/>
    <x v="1"/>
    <x v="4"/>
    <x v="9"/>
    <n v="4000"/>
    <n v="3000"/>
    <n v="208000"/>
    <n v="52000"/>
  </r>
  <r>
    <d v="2021-04-06T00:00:00"/>
    <x v="3"/>
    <x v="0"/>
    <x v="1"/>
    <x v="13"/>
    <n v="3500"/>
    <n v="2500"/>
    <n v="266000"/>
    <n v="76000"/>
  </r>
  <r>
    <d v="2021-06-15T00:00:00"/>
    <x v="1"/>
    <x v="3"/>
    <x v="4"/>
    <x v="14"/>
    <n v="4000"/>
    <n v="3000"/>
    <n v="580000"/>
    <n v="145000"/>
  </r>
  <r>
    <d v="2020-09-09T00:00:00"/>
    <x v="0"/>
    <x v="2"/>
    <x v="5"/>
    <x v="15"/>
    <n v="600"/>
    <n v="400"/>
    <n v="49800"/>
    <n v="16600"/>
  </r>
  <r>
    <d v="2021-08-13T00:00:00"/>
    <x v="4"/>
    <x v="2"/>
    <x v="3"/>
    <x v="3"/>
    <n v="1000"/>
    <n v="700"/>
    <n v="91000"/>
    <n v="27300"/>
  </r>
  <r>
    <d v="2020-08-27T00:00:00"/>
    <x v="5"/>
    <x v="0"/>
    <x v="6"/>
    <x v="16"/>
    <n v="10000"/>
    <n v="7000"/>
    <n v="1080000"/>
    <n v="324000"/>
  </r>
  <r>
    <d v="2021-04-07T00:00:00"/>
    <x v="2"/>
    <x v="3"/>
    <x v="4"/>
    <x v="17"/>
    <n v="4000"/>
    <n v="3000"/>
    <n v="576000"/>
    <n v="144000"/>
  </r>
  <r>
    <d v="2020-06-08T00:00:00"/>
    <x v="4"/>
    <x v="2"/>
    <x v="5"/>
    <x v="18"/>
    <n v="600"/>
    <n v="400"/>
    <n v="55200"/>
    <n v="18400"/>
  </r>
  <r>
    <d v="2021-12-21T00:00:00"/>
    <x v="7"/>
    <x v="0"/>
    <x v="0"/>
    <x v="19"/>
    <n v="6000"/>
    <n v="4000"/>
    <n v="426000"/>
    <n v="142000"/>
  </r>
  <r>
    <d v="2021-08-10T00:00:00"/>
    <x v="0"/>
    <x v="1"/>
    <x v="5"/>
    <x v="20"/>
    <n v="600"/>
    <n v="400"/>
    <n v="61800"/>
    <n v="20600"/>
  </r>
  <r>
    <d v="2021-12-02T00:00:00"/>
    <x v="9"/>
    <x v="3"/>
    <x v="3"/>
    <x v="10"/>
    <n v="1000"/>
    <n v="700"/>
    <n v="55000"/>
    <n v="16500"/>
  </r>
  <r>
    <d v="2021-08-30T00:00:00"/>
    <x v="5"/>
    <x v="1"/>
    <x v="4"/>
    <x v="21"/>
    <n v="4000"/>
    <n v="3000"/>
    <n v="372000"/>
    <n v="93000"/>
  </r>
  <r>
    <d v="2020-05-20T00:00:00"/>
    <x v="2"/>
    <x v="2"/>
    <x v="5"/>
    <x v="22"/>
    <n v="600"/>
    <n v="400"/>
    <n v="85800"/>
    <n v="28600"/>
  </r>
  <r>
    <d v="2021-09-13T00:00:00"/>
    <x v="6"/>
    <x v="0"/>
    <x v="1"/>
    <x v="22"/>
    <n v="3500"/>
    <n v="2500"/>
    <n v="500500"/>
    <n v="143000"/>
  </r>
  <r>
    <d v="2021-10-27T00:00:00"/>
    <x v="8"/>
    <x v="3"/>
    <x v="5"/>
    <x v="23"/>
    <n v="600"/>
    <n v="400"/>
    <n v="59400"/>
    <n v="19800"/>
  </r>
  <r>
    <d v="2020-12-22T00:00:00"/>
    <x v="3"/>
    <x v="0"/>
    <x v="3"/>
    <x v="24"/>
    <n v="1000"/>
    <n v="700"/>
    <n v="120000"/>
    <n v="36000"/>
  </r>
  <r>
    <d v="2021-07-28T00:00:00"/>
    <x v="1"/>
    <x v="2"/>
    <x v="1"/>
    <x v="25"/>
    <n v="3500"/>
    <n v="2500"/>
    <n v="231000"/>
    <n v="66000"/>
  </r>
  <r>
    <d v="2020-09-29T00:00:00"/>
    <x v="8"/>
    <x v="3"/>
    <x v="2"/>
    <x v="26"/>
    <n v="1200"/>
    <n v="800"/>
    <n v="105600"/>
    <n v="35200"/>
  </r>
  <r>
    <d v="2020-10-22T00:00:00"/>
    <x v="3"/>
    <x v="1"/>
    <x v="6"/>
    <x v="27"/>
    <n v="10000"/>
    <n v="7000"/>
    <n v="1270000"/>
    <n v="381000"/>
  </r>
  <r>
    <d v="2020-05-19T00:00:00"/>
    <x v="4"/>
    <x v="0"/>
    <x v="4"/>
    <x v="28"/>
    <n v="4000"/>
    <n v="3000"/>
    <n v="268000"/>
    <n v="67000"/>
  </r>
  <r>
    <d v="2021-12-06T00:00:00"/>
    <x v="1"/>
    <x v="1"/>
    <x v="2"/>
    <x v="28"/>
    <n v="1200"/>
    <n v="800"/>
    <n v="80400"/>
    <n v="26800"/>
  </r>
  <r>
    <d v="2020-08-26T00:00:00"/>
    <x v="9"/>
    <x v="2"/>
    <x v="3"/>
    <x v="29"/>
    <n v="1000"/>
    <n v="700"/>
    <n v="149000"/>
    <n v="44700"/>
  </r>
  <r>
    <d v="2021-07-01T00:00:00"/>
    <x v="4"/>
    <x v="3"/>
    <x v="5"/>
    <x v="30"/>
    <n v="600"/>
    <n v="400"/>
    <n v="62400"/>
    <n v="20800"/>
  </r>
  <r>
    <d v="2021-07-27T00:00:00"/>
    <x v="7"/>
    <x v="0"/>
    <x v="5"/>
    <x v="31"/>
    <n v="600"/>
    <n v="400"/>
    <n v="34200"/>
    <n v="11400"/>
  </r>
  <r>
    <d v="2020-10-05T00:00:00"/>
    <x v="2"/>
    <x v="1"/>
    <x v="5"/>
    <x v="32"/>
    <n v="600"/>
    <n v="400"/>
    <n v="54000"/>
    <n v="18000"/>
  </r>
  <r>
    <d v="2020-09-02T00:00:00"/>
    <x v="5"/>
    <x v="2"/>
    <x v="5"/>
    <x v="28"/>
    <n v="600"/>
    <n v="400"/>
    <n v="40200"/>
    <n v="13400"/>
  </r>
  <r>
    <d v="2021-09-02T00:00:00"/>
    <x v="0"/>
    <x v="3"/>
    <x v="4"/>
    <x v="27"/>
    <n v="4000"/>
    <n v="3000"/>
    <n v="508000"/>
    <n v="127000"/>
  </r>
  <r>
    <d v="2021-04-13T00:00:00"/>
    <x v="5"/>
    <x v="0"/>
    <x v="3"/>
    <x v="16"/>
    <n v="1000"/>
    <n v="700"/>
    <n v="108000"/>
    <n v="32400"/>
  </r>
  <r>
    <d v="2021-05-06T00:00:00"/>
    <x v="2"/>
    <x v="1"/>
    <x v="1"/>
    <x v="25"/>
    <n v="3500"/>
    <n v="2500"/>
    <n v="231000"/>
    <n v="66000"/>
  </r>
  <r>
    <d v="2021-01-15T00:00:00"/>
    <x v="0"/>
    <x v="3"/>
    <x v="0"/>
    <x v="6"/>
    <n v="6000"/>
    <n v="4000"/>
    <n v="468000"/>
    <n v="156000"/>
  </r>
  <r>
    <d v="2020-08-27T00:00:00"/>
    <x v="7"/>
    <x v="2"/>
    <x v="3"/>
    <x v="33"/>
    <n v="1000"/>
    <n v="700"/>
    <n v="69000"/>
    <n v="20700"/>
  </r>
  <r>
    <d v="2021-02-05T00:00:00"/>
    <x v="4"/>
    <x v="0"/>
    <x v="2"/>
    <x v="34"/>
    <n v="1200"/>
    <n v="800"/>
    <n v="70800"/>
    <n v="23600"/>
  </r>
  <r>
    <d v="2021-11-17T00:00:00"/>
    <x v="9"/>
    <x v="2"/>
    <x v="5"/>
    <x v="35"/>
    <n v="600"/>
    <n v="400"/>
    <n v="65400"/>
    <n v="21800"/>
  </r>
  <r>
    <d v="2020-12-28T00:00:00"/>
    <x v="8"/>
    <x v="1"/>
    <x v="4"/>
    <x v="36"/>
    <n v="4000"/>
    <n v="3000"/>
    <n v="244000"/>
    <n v="61000"/>
  </r>
  <r>
    <d v="2021-10-27T00:00:00"/>
    <x v="4"/>
    <x v="3"/>
    <x v="5"/>
    <x v="37"/>
    <n v="600"/>
    <n v="400"/>
    <n v="78000"/>
    <n v="26000"/>
  </r>
  <r>
    <d v="2021-11-02T00:00:00"/>
    <x v="3"/>
    <x v="2"/>
    <x v="1"/>
    <x v="38"/>
    <n v="3500"/>
    <n v="2500"/>
    <n v="210000"/>
    <n v="60000"/>
  </r>
  <r>
    <d v="2020-05-07T00:00:00"/>
    <x v="1"/>
    <x v="1"/>
    <x v="0"/>
    <x v="39"/>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261F7A-F67A-4427-A4C1-E6E6617220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E10"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E44C5E-86CC-47D0-AABE-3F87AA8D7E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7"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B176C7-9E03-4FC9-B3A5-7FF374BAF3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10"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items count="41">
        <item x="5"/>
        <item x="9"/>
        <item x="10"/>
        <item x="31"/>
        <item x="34"/>
        <item x="38"/>
        <item x="36"/>
        <item x="25"/>
        <item x="28"/>
        <item x="33"/>
        <item x="19"/>
        <item x="39"/>
        <item x="13"/>
        <item x="6"/>
        <item x="15"/>
        <item x="0"/>
        <item x="26"/>
        <item x="32"/>
        <item x="3"/>
        <item x="18"/>
        <item x="21"/>
        <item x="12"/>
        <item x="23"/>
        <item x="8"/>
        <item x="20"/>
        <item x="30"/>
        <item x="16"/>
        <item x="35"/>
        <item x="4"/>
        <item x="24"/>
        <item x="27"/>
        <item x="1"/>
        <item x="37"/>
        <item x="2"/>
        <item x="11"/>
        <item x="22"/>
        <item x="17"/>
        <item x="14"/>
        <item x="7"/>
        <item x="29"/>
        <item t="default"/>
      </items>
    </pivotField>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0"/>
          </reference>
        </references>
      </pivotArea>
    </chartFormat>
    <chartFormat chart="4" format="18">
      <pivotArea type="data" outline="0" fieldPosition="0">
        <references count="2">
          <reference field="4294967294" count="1" selected="0">
            <x v="0"/>
          </reference>
          <reference field="3" count="1" selected="0">
            <x v="1"/>
          </reference>
        </references>
      </pivotArea>
    </chartFormat>
    <chartFormat chart="4" format="19">
      <pivotArea type="data" outline="0" fieldPosition="0">
        <references count="2">
          <reference field="4294967294" count="1" selected="0">
            <x v="0"/>
          </reference>
          <reference field="3" count="1" selected="0">
            <x v="2"/>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 chart="4" format="21">
      <pivotArea type="data" outline="0" fieldPosition="0">
        <references count="2">
          <reference field="4294967294" count="1" selected="0">
            <x v="0"/>
          </reference>
          <reference field="3" count="1" selected="0">
            <x v="4"/>
          </reference>
        </references>
      </pivotArea>
    </chartFormat>
    <chartFormat chart="4" format="22">
      <pivotArea type="data" outline="0" fieldPosition="0">
        <references count="2">
          <reference field="4294967294" count="1" selected="0">
            <x v="0"/>
          </reference>
          <reference field="3" count="1" selected="0">
            <x v="5"/>
          </reference>
        </references>
      </pivotArea>
    </chartFormat>
    <chartFormat chart="4" format="23">
      <pivotArea type="data" outline="0" fieldPosition="0">
        <references count="2">
          <reference field="4294967294" count="1" selected="0">
            <x v="0"/>
          </reference>
          <reference field="3" count="1" selected="0">
            <x v="6"/>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477C3-4559-4DFC-AD2D-45BD8F04DC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K13"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8"/>
          </reference>
        </references>
      </pivotArea>
    </chartFormat>
    <chartFormat chart="1" format="4">
      <pivotArea type="data" outline="0" fieldPosition="0">
        <references count="2">
          <reference field="4294967294" count="1" selected="0">
            <x v="0"/>
          </reference>
          <reference field="1" count="1" selected="0">
            <x v="7"/>
          </reference>
        </references>
      </pivotArea>
    </chartFormat>
    <chartFormat chart="1" format="5">
      <pivotArea type="data" outline="0" fieldPosition="0">
        <references count="2">
          <reference field="4294967294" count="1" selected="0">
            <x v="0"/>
          </reference>
          <reference field="1" count="1" selected="0">
            <x v="6"/>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2"/>
          </reference>
        </references>
      </pivotArea>
    </chartFormat>
    <chartFormat chart="1" format="9">
      <pivotArea type="data" outline="0" fieldPosition="0">
        <references count="2">
          <reference field="4294967294" count="1" selected="0">
            <x v="0"/>
          </reference>
          <reference field="1" count="1" selected="0">
            <x v="0"/>
          </reference>
        </references>
      </pivotArea>
    </chartFormat>
    <chartFormat chart="1" format="10">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E9A0CA-765C-4345-9ECA-32379488DFA2}" sourceName="Product">
  <pivotTables>
    <pivotTable tabId="4" name="PivotTable2"/>
    <pivotTable tabId="4" name="PivotTable3"/>
    <pivotTable tabId="4" name="PivotTable4"/>
    <pivotTable tabId="4" name="PivotTable5"/>
  </pivotTables>
  <data>
    <tabular pivotCacheId="670138765">
      <items count="7">
        <i x="2" s="1"/>
        <i x="1" s="1"/>
        <i x="5"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17DED8-57D9-49C9-B32F-B2488D527CAF}" sourceName="Region">
  <pivotTables>
    <pivotTable tabId="4" name="PivotTable2"/>
    <pivotTable tabId="4" name="PivotTable3"/>
    <pivotTable tabId="4" name="PivotTable4"/>
    <pivotTable tabId="4" name="PivotTable5"/>
  </pivotTables>
  <data>
    <tabular pivotCacheId="67013876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3AF21A2-1246-44F4-8A22-308FB3216BC5}" sourceName="Sales Person">
  <pivotTables>
    <pivotTable tabId="4" name="PivotTable2"/>
    <pivotTable tabId="4" name="PivotTable3"/>
    <pivotTable tabId="4" name="PivotTable4"/>
    <pivotTable tabId="4" name="PivotTable5"/>
  </pivotTables>
  <data>
    <tabular pivotCacheId="670138765">
      <items count="10">
        <i x="0" s="1"/>
        <i x="8" s="1"/>
        <i x="3" s="1"/>
        <i x="5" s="1"/>
        <i x="7" s="1"/>
        <i x="2" s="1"/>
        <i x="1" s="1"/>
        <i x="4"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7CA6F93-91E0-4047-83B3-61D9BBFD6893}" cache="Slicer_Product" caption="Product" style="SlicerStyleDark6" rowHeight="257175"/>
  <slicer name="Region" xr10:uid="{B862D28B-5AA1-4D4B-B91D-0AD4EA529473}" cache="Slicer_Region" caption="Region" columnCount="2" style="SlicerStyleDark6" rowHeight="257175"/>
  <slicer name="Sales Person" xr10:uid="{71449FA8-089B-4F6A-88E2-36A5FC06E668}" cache="Slicer_Sales_Person" caption="Sales Person"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0E09C0-1B55-4DA5-A9C2-76E972A436C0}" name="Table1" displayName="Table1" ref="A1:I51" totalsRowShown="0" headerRowDxfId="7" dataDxfId="6" dataCellStyle="Currency [0]">
  <autoFilter ref="A1:I51" xr:uid="{770E09C0-1B55-4DA5-A9C2-76E972A436C0}"/>
  <tableColumns count="9">
    <tableColumn id="1" xr3:uid="{BD9DEC51-B205-4BB7-A884-68EDE6BFF1F0}" name="Date" dataDxfId="5"/>
    <tableColumn id="2" xr3:uid="{F791DC6D-B47F-4E8F-98C9-F5F8C5CDB28F}" name="Sales Person"/>
    <tableColumn id="3" xr3:uid="{A37738B0-83D8-4532-BCED-F3612F23C545}" name="Region"/>
    <tableColumn id="4" xr3:uid="{AC5CE4D4-78D1-4644-8FC3-A26F18E1E7F1}" name="Product"/>
    <tableColumn id="5" xr3:uid="{0B8B7120-BA04-4D53-9D20-4BAB1064596C}" name="Units Sold" dataDxfId="4"/>
    <tableColumn id="6" xr3:uid="{7D42516D-5A86-4CF6-824E-F025298795D0}" name="Unit Price" dataDxfId="3" dataCellStyle="Currency [0]">
      <calculatedColumnFormula>IF(D2="Tent",6000,IF(D2="Blender",3500,IF(D2="Action Figure",1200,IF(D2="Novel",1000,IF(D2="Sneakers",4000,IF(D2="Smartphone",10000,IF(D2="moisturizer",600,"No Product Found")))))))</calculatedColumnFormula>
    </tableColumn>
    <tableColumn id="7" xr3:uid="{EB1C846D-0474-4BAA-9757-FA85235BB929}" name="Cost of Goods" dataDxfId="2" dataCellStyle="Currency [0]">
      <calculatedColumnFormula>IF(D2="Tent",4000,IF(D2="Blender",2500,IF(D2="Action Figure",800,IF(D2="Novel",700,IF(D2="Sneakers",3000,IF(D2="Smartphone",7000,IF(D2="moisturizer",400,"No Product Found")))))))</calculatedColumnFormula>
    </tableColumn>
    <tableColumn id="8" xr3:uid="{8041496E-3EE0-4B7D-85FF-7A28F001F9FA}" name="Total Sales" dataDxfId="1" dataCellStyle="Currency [0]">
      <calculatedColumnFormula>F2*E2</calculatedColumnFormula>
    </tableColumn>
    <tableColumn id="9" xr3:uid="{E13A375F-CCF3-42F3-A905-5C0454769105}" name="Profit" dataDxfId="0">
      <calculatedColumnFormula>H2-(G2*E2)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3"/>
  <sheetViews>
    <sheetView workbookViewId="0">
      <selection sqref="A1:I51"/>
    </sheetView>
  </sheetViews>
  <sheetFormatPr defaultRowHeight="15" x14ac:dyDescent="0.25"/>
  <cols>
    <col min="1" max="1" width="12.85546875" customWidth="1"/>
    <col min="2" max="2" width="14.7109375" customWidth="1"/>
    <col min="3" max="3" width="9.42578125" customWidth="1"/>
    <col min="4" max="4" width="15.5703125" customWidth="1"/>
    <col min="5" max="5" width="12.28515625" customWidth="1"/>
    <col min="6" max="6" width="11.85546875" customWidth="1"/>
    <col min="7" max="7" width="16" customWidth="1"/>
    <col min="8" max="9" width="13.5703125" customWidth="1"/>
    <col min="10" max="10" width="12.28515625" bestFit="1" customWidth="1"/>
    <col min="11" max="11" width="19.28515625" customWidth="1"/>
    <col min="13" max="13" width="14.85546875" bestFit="1" customWidth="1"/>
  </cols>
  <sheetData>
    <row r="1" spans="1:11" ht="20.100000000000001" customHeight="1" thickBot="1" x14ac:dyDescent="0.3">
      <c r="A1" s="1" t="s">
        <v>0</v>
      </c>
      <c r="B1" s="1" t="s">
        <v>1</v>
      </c>
      <c r="C1" s="1" t="s">
        <v>2</v>
      </c>
      <c r="D1" s="1" t="s">
        <v>3</v>
      </c>
      <c r="E1" s="1" t="s">
        <v>4</v>
      </c>
      <c r="F1" s="1" t="s">
        <v>5</v>
      </c>
      <c r="G1" s="1" t="s">
        <v>6</v>
      </c>
      <c r="H1" s="1" t="s">
        <v>7</v>
      </c>
      <c r="I1" s="6" t="s">
        <v>29</v>
      </c>
    </row>
    <row r="2" spans="1:11" ht="15.75" thickTop="1" x14ac:dyDescent="0.25">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5">
        <f>H2-(G2*E2)</f>
        <v>168000</v>
      </c>
      <c r="K2" t="s">
        <v>30</v>
      </c>
    </row>
    <row r="3" spans="1:11" x14ac:dyDescent="0.25">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5">
        <f t="shared" ref="I3:I51" si="3">H3-(G3*E3)</f>
        <v>128000</v>
      </c>
      <c r="K3" s="8">
        <f>SUM(H2:H51)</f>
        <v>12944500</v>
      </c>
    </row>
    <row r="4" spans="1:11" x14ac:dyDescent="0.25">
      <c r="A4" s="2">
        <v>44230</v>
      </c>
      <c r="B4" t="s">
        <v>14</v>
      </c>
      <c r="C4" t="s">
        <v>15</v>
      </c>
      <c r="D4" t="s">
        <v>16</v>
      </c>
      <c r="E4" s="3">
        <v>136</v>
      </c>
      <c r="F4" s="4">
        <f t="shared" si="0"/>
        <v>1200</v>
      </c>
      <c r="G4" s="4">
        <f t="shared" si="1"/>
        <v>800</v>
      </c>
      <c r="H4" s="4">
        <f t="shared" si="2"/>
        <v>163200</v>
      </c>
      <c r="I4" s="5">
        <f t="shared" si="3"/>
        <v>54400</v>
      </c>
    </row>
    <row r="5" spans="1:11" x14ac:dyDescent="0.25">
      <c r="A5" s="2">
        <v>44085</v>
      </c>
      <c r="B5" t="s">
        <v>17</v>
      </c>
      <c r="C5" t="s">
        <v>18</v>
      </c>
      <c r="D5" t="s">
        <v>19</v>
      </c>
      <c r="E5" s="3">
        <v>91</v>
      </c>
      <c r="F5" s="4">
        <f t="shared" si="0"/>
        <v>1000</v>
      </c>
      <c r="G5" s="4">
        <f t="shared" si="1"/>
        <v>700</v>
      </c>
      <c r="H5" s="4">
        <f t="shared" si="2"/>
        <v>91000</v>
      </c>
      <c r="I5" s="5">
        <f t="shared" si="3"/>
        <v>27300</v>
      </c>
      <c r="K5" t="s">
        <v>31</v>
      </c>
    </row>
    <row r="6" spans="1:11" x14ac:dyDescent="0.25">
      <c r="A6" s="2">
        <v>44462</v>
      </c>
      <c r="B6" t="s">
        <v>20</v>
      </c>
      <c r="C6" t="s">
        <v>9</v>
      </c>
      <c r="D6" t="s">
        <v>21</v>
      </c>
      <c r="E6" s="3">
        <v>110</v>
      </c>
      <c r="F6" s="4">
        <f t="shared" si="0"/>
        <v>4000</v>
      </c>
      <c r="G6" s="4">
        <f t="shared" si="1"/>
        <v>3000</v>
      </c>
      <c r="H6" s="4">
        <f t="shared" si="2"/>
        <v>440000</v>
      </c>
      <c r="I6" s="5">
        <f t="shared" si="3"/>
        <v>110000</v>
      </c>
      <c r="K6" s="8">
        <f>SUM(E2:E51)</f>
        <v>4705</v>
      </c>
    </row>
    <row r="7" spans="1:11" x14ac:dyDescent="0.25">
      <c r="A7" s="2">
        <v>44105</v>
      </c>
      <c r="B7" t="s">
        <v>22</v>
      </c>
      <c r="C7" t="s">
        <v>12</v>
      </c>
      <c r="D7" t="s">
        <v>16</v>
      </c>
      <c r="E7" s="3">
        <v>51</v>
      </c>
      <c r="F7" s="4">
        <f t="shared" si="0"/>
        <v>1200</v>
      </c>
      <c r="G7" s="4">
        <f t="shared" si="1"/>
        <v>800</v>
      </c>
      <c r="H7" s="4">
        <f t="shared" si="2"/>
        <v>61200</v>
      </c>
      <c r="I7" s="5">
        <f t="shared" si="3"/>
        <v>20400</v>
      </c>
    </row>
    <row r="8" spans="1:11" x14ac:dyDescent="0.25">
      <c r="A8" s="2">
        <v>44413</v>
      </c>
      <c r="B8" t="s">
        <v>23</v>
      </c>
      <c r="C8" t="s">
        <v>18</v>
      </c>
      <c r="D8" t="s">
        <v>19</v>
      </c>
      <c r="E8" s="3">
        <v>78</v>
      </c>
      <c r="F8" s="4">
        <f t="shared" si="0"/>
        <v>1000</v>
      </c>
      <c r="G8" s="4">
        <f t="shared" si="1"/>
        <v>700</v>
      </c>
      <c r="H8" s="4">
        <f t="shared" si="2"/>
        <v>78000</v>
      </c>
      <c r="I8" s="5">
        <f t="shared" si="3"/>
        <v>23400</v>
      </c>
      <c r="K8" t="s">
        <v>32</v>
      </c>
    </row>
    <row r="9" spans="1:11" x14ac:dyDescent="0.25">
      <c r="A9" s="2">
        <v>44141</v>
      </c>
      <c r="B9" t="s">
        <v>24</v>
      </c>
      <c r="C9" t="s">
        <v>15</v>
      </c>
      <c r="D9" t="s">
        <v>10</v>
      </c>
      <c r="E9" s="3">
        <v>146</v>
      </c>
      <c r="F9" s="4">
        <f t="shared" si="0"/>
        <v>6000</v>
      </c>
      <c r="G9" s="4">
        <f t="shared" si="1"/>
        <v>4000</v>
      </c>
      <c r="H9" s="4">
        <f t="shared" si="2"/>
        <v>876000</v>
      </c>
      <c r="I9" s="5">
        <f t="shared" si="3"/>
        <v>292000</v>
      </c>
      <c r="K9" s="8">
        <f>SUM(I2:I51)</f>
        <v>3834400</v>
      </c>
    </row>
    <row r="10" spans="1:11" x14ac:dyDescent="0.25">
      <c r="A10" s="2">
        <v>44223</v>
      </c>
      <c r="B10" t="s">
        <v>25</v>
      </c>
      <c r="C10" t="s">
        <v>9</v>
      </c>
      <c r="D10" t="s">
        <v>26</v>
      </c>
      <c r="E10" s="3">
        <v>101</v>
      </c>
      <c r="F10" s="4">
        <f t="shared" si="0"/>
        <v>600</v>
      </c>
      <c r="G10" s="4">
        <f t="shared" si="1"/>
        <v>400</v>
      </c>
      <c r="H10" s="4">
        <f t="shared" si="2"/>
        <v>60600</v>
      </c>
      <c r="I10" s="5">
        <f t="shared" si="3"/>
        <v>20200</v>
      </c>
    </row>
    <row r="11" spans="1:11" x14ac:dyDescent="0.25">
      <c r="A11" s="2">
        <v>44442</v>
      </c>
      <c r="B11" t="s">
        <v>27</v>
      </c>
      <c r="C11" t="s">
        <v>15</v>
      </c>
      <c r="D11" t="s">
        <v>10</v>
      </c>
      <c r="E11" s="3">
        <v>52</v>
      </c>
      <c r="F11" s="4">
        <f t="shared" si="0"/>
        <v>6000</v>
      </c>
      <c r="G11" s="4">
        <f t="shared" si="1"/>
        <v>4000</v>
      </c>
      <c r="H11" s="4">
        <f t="shared" si="2"/>
        <v>312000</v>
      </c>
      <c r="I11" s="5">
        <f t="shared" si="3"/>
        <v>104000</v>
      </c>
      <c r="K11" t="s">
        <v>33</v>
      </c>
    </row>
    <row r="12" spans="1:11" x14ac:dyDescent="0.25">
      <c r="A12" s="2">
        <v>44469</v>
      </c>
      <c r="B12" t="s">
        <v>27</v>
      </c>
      <c r="C12" t="s">
        <v>12</v>
      </c>
      <c r="D12" t="s">
        <v>16</v>
      </c>
      <c r="E12" s="3">
        <v>55</v>
      </c>
      <c r="F12" s="4">
        <f t="shared" si="0"/>
        <v>1200</v>
      </c>
      <c r="G12" s="4">
        <f t="shared" si="1"/>
        <v>800</v>
      </c>
      <c r="H12" s="4">
        <f t="shared" si="2"/>
        <v>66000</v>
      </c>
      <c r="I12" s="5">
        <f t="shared" si="3"/>
        <v>22000</v>
      </c>
      <c r="K12" s="8">
        <f>AVERAGE(H2:H51)</f>
        <v>258890</v>
      </c>
    </row>
    <row r="13" spans="1:11" x14ac:dyDescent="0.25">
      <c r="A13" s="2">
        <v>44084</v>
      </c>
      <c r="B13" t="s">
        <v>27</v>
      </c>
      <c r="C13" t="s">
        <v>15</v>
      </c>
      <c r="D13" t="s">
        <v>19</v>
      </c>
      <c r="E13" s="3">
        <v>137</v>
      </c>
      <c r="F13" s="4">
        <f t="shared" si="0"/>
        <v>1000</v>
      </c>
      <c r="G13" s="4">
        <f t="shared" si="1"/>
        <v>700</v>
      </c>
      <c r="H13" s="4">
        <f t="shared" si="2"/>
        <v>137000</v>
      </c>
      <c r="I13" s="5">
        <f t="shared" si="3"/>
        <v>41100</v>
      </c>
    </row>
    <row r="14" spans="1:11" x14ac:dyDescent="0.25">
      <c r="A14" s="2">
        <v>44404</v>
      </c>
      <c r="B14" t="s">
        <v>24</v>
      </c>
      <c r="C14" t="s">
        <v>15</v>
      </c>
      <c r="D14" t="s">
        <v>13</v>
      </c>
      <c r="E14" s="3">
        <v>96</v>
      </c>
      <c r="F14" s="4">
        <f t="shared" si="0"/>
        <v>3500</v>
      </c>
      <c r="G14" s="4">
        <f t="shared" si="1"/>
        <v>2500</v>
      </c>
      <c r="H14" s="4">
        <f t="shared" si="2"/>
        <v>336000</v>
      </c>
      <c r="I14" s="5">
        <f t="shared" si="3"/>
        <v>96000</v>
      </c>
    </row>
    <row r="15" spans="1:11" x14ac:dyDescent="0.25">
      <c r="A15" s="2">
        <v>44113</v>
      </c>
      <c r="B15" t="s">
        <v>25</v>
      </c>
      <c r="C15" t="s">
        <v>12</v>
      </c>
      <c r="D15" t="s">
        <v>21</v>
      </c>
      <c r="E15" s="3">
        <v>52</v>
      </c>
      <c r="F15" s="4">
        <f t="shared" si="0"/>
        <v>4000</v>
      </c>
      <c r="G15" s="4">
        <f t="shared" si="1"/>
        <v>3000</v>
      </c>
      <c r="H15" s="4">
        <f t="shared" si="2"/>
        <v>208000</v>
      </c>
      <c r="I15" s="5">
        <f t="shared" si="3"/>
        <v>52000</v>
      </c>
    </row>
    <row r="16" spans="1:11" x14ac:dyDescent="0.25">
      <c r="A16" s="2">
        <v>44292</v>
      </c>
      <c r="B16" t="s">
        <v>17</v>
      </c>
      <c r="C16" t="s">
        <v>9</v>
      </c>
      <c r="D16" t="s">
        <v>13</v>
      </c>
      <c r="E16" s="3">
        <v>76</v>
      </c>
      <c r="F16" s="4">
        <f t="shared" si="0"/>
        <v>3500</v>
      </c>
      <c r="G16" s="4">
        <f t="shared" si="1"/>
        <v>2500</v>
      </c>
      <c r="H16" s="4">
        <f t="shared" si="2"/>
        <v>266000</v>
      </c>
      <c r="I16" s="5">
        <f t="shared" si="3"/>
        <v>76000</v>
      </c>
    </row>
    <row r="17" spans="1:9" x14ac:dyDescent="0.25">
      <c r="A17" s="2">
        <v>44362</v>
      </c>
      <c r="B17" t="s">
        <v>11</v>
      </c>
      <c r="C17" t="s">
        <v>18</v>
      </c>
      <c r="D17" t="s">
        <v>21</v>
      </c>
      <c r="E17" s="3">
        <v>145</v>
      </c>
      <c r="F17" s="4">
        <f t="shared" si="0"/>
        <v>4000</v>
      </c>
      <c r="G17" s="4">
        <f t="shared" si="1"/>
        <v>3000</v>
      </c>
      <c r="H17" s="4">
        <f t="shared" si="2"/>
        <v>580000</v>
      </c>
      <c r="I17" s="5">
        <f t="shared" si="3"/>
        <v>145000</v>
      </c>
    </row>
    <row r="18" spans="1:9" x14ac:dyDescent="0.25">
      <c r="A18" s="2">
        <v>44083</v>
      </c>
      <c r="B18" t="s">
        <v>8</v>
      </c>
      <c r="C18" t="s">
        <v>15</v>
      </c>
      <c r="D18" t="s">
        <v>26</v>
      </c>
      <c r="E18" s="3">
        <v>83</v>
      </c>
      <c r="F18" s="4">
        <f t="shared" si="0"/>
        <v>600</v>
      </c>
      <c r="G18" s="4">
        <f t="shared" si="1"/>
        <v>400</v>
      </c>
      <c r="H18" s="4">
        <f t="shared" si="2"/>
        <v>49800</v>
      </c>
      <c r="I18" s="5">
        <f t="shared" si="3"/>
        <v>16600</v>
      </c>
    </row>
    <row r="19" spans="1:9" x14ac:dyDescent="0.25">
      <c r="A19" s="2">
        <v>44421</v>
      </c>
      <c r="B19" t="s">
        <v>20</v>
      </c>
      <c r="C19" t="s">
        <v>15</v>
      </c>
      <c r="D19" t="s">
        <v>19</v>
      </c>
      <c r="E19" s="3">
        <v>91</v>
      </c>
      <c r="F19" s="4">
        <f t="shared" si="0"/>
        <v>1000</v>
      </c>
      <c r="G19" s="4">
        <f t="shared" si="1"/>
        <v>700</v>
      </c>
      <c r="H19" s="4">
        <f t="shared" si="2"/>
        <v>91000</v>
      </c>
      <c r="I19" s="5">
        <f t="shared" si="3"/>
        <v>27300</v>
      </c>
    </row>
    <row r="20" spans="1:9" x14ac:dyDescent="0.25">
      <c r="A20" s="2">
        <v>44070</v>
      </c>
      <c r="B20" t="s">
        <v>22</v>
      </c>
      <c r="C20" t="s">
        <v>9</v>
      </c>
      <c r="D20" t="s">
        <v>28</v>
      </c>
      <c r="E20" s="3">
        <v>108</v>
      </c>
      <c r="F20" s="4">
        <f t="shared" si="0"/>
        <v>10000</v>
      </c>
      <c r="G20" s="4">
        <f t="shared" si="1"/>
        <v>7000</v>
      </c>
      <c r="H20" s="4">
        <f t="shared" si="2"/>
        <v>1080000</v>
      </c>
      <c r="I20" s="5">
        <f t="shared" si="3"/>
        <v>324000</v>
      </c>
    </row>
    <row r="21" spans="1:9" x14ac:dyDescent="0.25">
      <c r="A21" s="2">
        <v>44293</v>
      </c>
      <c r="B21" t="s">
        <v>14</v>
      </c>
      <c r="C21" t="s">
        <v>18</v>
      </c>
      <c r="D21" t="s">
        <v>21</v>
      </c>
      <c r="E21" s="3">
        <v>144</v>
      </c>
      <c r="F21" s="4">
        <f t="shared" si="0"/>
        <v>4000</v>
      </c>
      <c r="G21" s="4">
        <f t="shared" si="1"/>
        <v>3000</v>
      </c>
      <c r="H21" s="4">
        <f t="shared" si="2"/>
        <v>576000</v>
      </c>
      <c r="I21" s="5">
        <f t="shared" si="3"/>
        <v>144000</v>
      </c>
    </row>
    <row r="22" spans="1:9" x14ac:dyDescent="0.25">
      <c r="A22" s="2">
        <v>43990</v>
      </c>
      <c r="B22" t="s">
        <v>20</v>
      </c>
      <c r="C22" t="s">
        <v>15</v>
      </c>
      <c r="D22" t="s">
        <v>26</v>
      </c>
      <c r="E22" s="3">
        <v>92</v>
      </c>
      <c r="F22" s="4">
        <f t="shared" si="0"/>
        <v>600</v>
      </c>
      <c r="G22" s="4">
        <f t="shared" si="1"/>
        <v>400</v>
      </c>
      <c r="H22" s="4">
        <f t="shared" si="2"/>
        <v>55200</v>
      </c>
      <c r="I22" s="5">
        <f t="shared" si="3"/>
        <v>18400</v>
      </c>
    </row>
    <row r="23" spans="1:9" x14ac:dyDescent="0.25">
      <c r="A23" s="2">
        <v>44551</v>
      </c>
      <c r="B23" t="s">
        <v>24</v>
      </c>
      <c r="C23" t="s">
        <v>9</v>
      </c>
      <c r="D23" t="s">
        <v>10</v>
      </c>
      <c r="E23" s="3">
        <v>71</v>
      </c>
      <c r="F23" s="4">
        <f t="shared" si="0"/>
        <v>6000</v>
      </c>
      <c r="G23" s="4">
        <f t="shared" si="1"/>
        <v>4000</v>
      </c>
      <c r="H23" s="4">
        <f t="shared" si="2"/>
        <v>426000</v>
      </c>
      <c r="I23" s="5">
        <f t="shared" si="3"/>
        <v>142000</v>
      </c>
    </row>
    <row r="24" spans="1:9" x14ac:dyDescent="0.25">
      <c r="A24" s="2">
        <v>44418</v>
      </c>
      <c r="B24" t="s">
        <v>8</v>
      </c>
      <c r="C24" t="s">
        <v>12</v>
      </c>
      <c r="D24" t="s">
        <v>26</v>
      </c>
      <c r="E24" s="3">
        <v>103</v>
      </c>
      <c r="F24" s="4">
        <f t="shared" si="0"/>
        <v>600</v>
      </c>
      <c r="G24" s="4">
        <f t="shared" si="1"/>
        <v>400</v>
      </c>
      <c r="H24" s="4">
        <f t="shared" si="2"/>
        <v>61800</v>
      </c>
      <c r="I24" s="5">
        <f t="shared" si="3"/>
        <v>20600</v>
      </c>
    </row>
    <row r="25" spans="1:9" x14ac:dyDescent="0.25">
      <c r="A25" s="2">
        <v>44532</v>
      </c>
      <c r="B25" t="s">
        <v>27</v>
      </c>
      <c r="C25" t="s">
        <v>18</v>
      </c>
      <c r="D25" t="s">
        <v>19</v>
      </c>
      <c r="E25" s="3">
        <v>55</v>
      </c>
      <c r="F25" s="4">
        <f t="shared" si="0"/>
        <v>1000</v>
      </c>
      <c r="G25" s="4">
        <f t="shared" si="1"/>
        <v>700</v>
      </c>
      <c r="H25" s="4">
        <f t="shared" si="2"/>
        <v>55000</v>
      </c>
      <c r="I25" s="5">
        <f t="shared" si="3"/>
        <v>16500</v>
      </c>
    </row>
    <row r="26" spans="1:9" x14ac:dyDescent="0.25">
      <c r="A26" s="2">
        <v>44438</v>
      </c>
      <c r="B26" t="s">
        <v>22</v>
      </c>
      <c r="C26" t="s">
        <v>12</v>
      </c>
      <c r="D26" t="s">
        <v>21</v>
      </c>
      <c r="E26" s="3">
        <v>93</v>
      </c>
      <c r="F26" s="4">
        <f t="shared" si="0"/>
        <v>4000</v>
      </c>
      <c r="G26" s="4">
        <f t="shared" si="1"/>
        <v>3000</v>
      </c>
      <c r="H26" s="4">
        <f t="shared" si="2"/>
        <v>372000</v>
      </c>
      <c r="I26" s="5">
        <f t="shared" si="3"/>
        <v>93000</v>
      </c>
    </row>
    <row r="27" spans="1:9" x14ac:dyDescent="0.25">
      <c r="A27" s="2">
        <v>43971</v>
      </c>
      <c r="B27" t="s">
        <v>14</v>
      </c>
      <c r="C27" t="s">
        <v>15</v>
      </c>
      <c r="D27" t="s">
        <v>26</v>
      </c>
      <c r="E27" s="3">
        <v>143</v>
      </c>
      <c r="F27" s="4">
        <f t="shared" si="0"/>
        <v>600</v>
      </c>
      <c r="G27" s="4">
        <f t="shared" si="1"/>
        <v>400</v>
      </c>
      <c r="H27" s="4">
        <f t="shared" si="2"/>
        <v>85800</v>
      </c>
      <c r="I27" s="5">
        <f t="shared" si="3"/>
        <v>28600</v>
      </c>
    </row>
    <row r="28" spans="1:9" x14ac:dyDescent="0.25">
      <c r="A28" s="2">
        <v>44452</v>
      </c>
      <c r="B28" t="s">
        <v>23</v>
      </c>
      <c r="C28" t="s">
        <v>9</v>
      </c>
      <c r="D28" t="s">
        <v>13</v>
      </c>
      <c r="E28" s="3">
        <v>143</v>
      </c>
      <c r="F28" s="4">
        <f t="shared" si="0"/>
        <v>3500</v>
      </c>
      <c r="G28" s="4">
        <f t="shared" si="1"/>
        <v>2500</v>
      </c>
      <c r="H28" s="4">
        <f t="shared" si="2"/>
        <v>500500</v>
      </c>
      <c r="I28" s="5">
        <f t="shared" si="3"/>
        <v>143000</v>
      </c>
    </row>
    <row r="29" spans="1:9" x14ac:dyDescent="0.25">
      <c r="A29" s="2">
        <v>44496</v>
      </c>
      <c r="B29" t="s">
        <v>25</v>
      </c>
      <c r="C29" t="s">
        <v>18</v>
      </c>
      <c r="D29" t="s">
        <v>26</v>
      </c>
      <c r="E29" s="3">
        <v>99</v>
      </c>
      <c r="F29" s="4">
        <f t="shared" si="0"/>
        <v>600</v>
      </c>
      <c r="G29" s="4">
        <f t="shared" si="1"/>
        <v>400</v>
      </c>
      <c r="H29" s="4">
        <f t="shared" si="2"/>
        <v>59400</v>
      </c>
      <c r="I29" s="5">
        <f t="shared" si="3"/>
        <v>19800</v>
      </c>
    </row>
    <row r="30" spans="1:9" x14ac:dyDescent="0.25">
      <c r="A30" s="2">
        <v>44187</v>
      </c>
      <c r="B30" t="s">
        <v>17</v>
      </c>
      <c r="C30" t="s">
        <v>9</v>
      </c>
      <c r="D30" t="s">
        <v>19</v>
      </c>
      <c r="E30" s="3">
        <v>120</v>
      </c>
      <c r="F30" s="4">
        <f t="shared" si="0"/>
        <v>1000</v>
      </c>
      <c r="G30" s="4">
        <f t="shared" si="1"/>
        <v>700</v>
      </c>
      <c r="H30" s="4">
        <f t="shared" si="2"/>
        <v>120000</v>
      </c>
      <c r="I30" s="5">
        <f t="shared" si="3"/>
        <v>36000</v>
      </c>
    </row>
    <row r="31" spans="1:9" x14ac:dyDescent="0.25">
      <c r="A31" s="2">
        <v>44405</v>
      </c>
      <c r="B31" t="s">
        <v>11</v>
      </c>
      <c r="C31" t="s">
        <v>15</v>
      </c>
      <c r="D31" t="s">
        <v>13</v>
      </c>
      <c r="E31" s="3">
        <v>66</v>
      </c>
      <c r="F31" s="4">
        <f t="shared" si="0"/>
        <v>3500</v>
      </c>
      <c r="G31" s="4">
        <f t="shared" si="1"/>
        <v>2500</v>
      </c>
      <c r="H31" s="4">
        <f t="shared" si="2"/>
        <v>231000</v>
      </c>
      <c r="I31" s="5">
        <f t="shared" si="3"/>
        <v>66000</v>
      </c>
    </row>
    <row r="32" spans="1:9" x14ac:dyDescent="0.25">
      <c r="A32" s="2">
        <v>44103</v>
      </c>
      <c r="B32" t="s">
        <v>25</v>
      </c>
      <c r="C32" t="s">
        <v>18</v>
      </c>
      <c r="D32" t="s">
        <v>16</v>
      </c>
      <c r="E32" s="3">
        <v>88</v>
      </c>
      <c r="F32" s="4">
        <f t="shared" si="0"/>
        <v>1200</v>
      </c>
      <c r="G32" s="4">
        <f t="shared" si="1"/>
        <v>800</v>
      </c>
      <c r="H32" s="4">
        <f t="shared" si="2"/>
        <v>105600</v>
      </c>
      <c r="I32" s="5">
        <f t="shared" si="3"/>
        <v>35200</v>
      </c>
    </row>
    <row r="33" spans="1:9" x14ac:dyDescent="0.25">
      <c r="A33" s="2">
        <v>44126</v>
      </c>
      <c r="B33" t="s">
        <v>17</v>
      </c>
      <c r="C33" t="s">
        <v>12</v>
      </c>
      <c r="D33" t="s">
        <v>28</v>
      </c>
      <c r="E33" s="3">
        <v>127</v>
      </c>
      <c r="F33" s="4">
        <f t="shared" si="0"/>
        <v>10000</v>
      </c>
      <c r="G33" s="4">
        <f t="shared" si="1"/>
        <v>7000</v>
      </c>
      <c r="H33" s="4">
        <f t="shared" si="2"/>
        <v>1270000</v>
      </c>
      <c r="I33" s="5">
        <f t="shared" si="3"/>
        <v>381000</v>
      </c>
    </row>
    <row r="34" spans="1:9" x14ac:dyDescent="0.25">
      <c r="A34" s="2">
        <v>43970</v>
      </c>
      <c r="B34" t="s">
        <v>20</v>
      </c>
      <c r="C34" t="s">
        <v>9</v>
      </c>
      <c r="D34" t="s">
        <v>21</v>
      </c>
      <c r="E34" s="3">
        <v>67</v>
      </c>
      <c r="F34" s="4">
        <f t="shared" si="0"/>
        <v>4000</v>
      </c>
      <c r="G34" s="4">
        <f t="shared" si="1"/>
        <v>3000</v>
      </c>
      <c r="H34" s="4">
        <f t="shared" si="2"/>
        <v>268000</v>
      </c>
      <c r="I34" s="5">
        <f t="shared" si="3"/>
        <v>67000</v>
      </c>
    </row>
    <row r="35" spans="1:9" x14ac:dyDescent="0.25">
      <c r="A35" s="2">
        <v>44536</v>
      </c>
      <c r="B35" t="s">
        <v>11</v>
      </c>
      <c r="C35" t="s">
        <v>12</v>
      </c>
      <c r="D35" t="s">
        <v>16</v>
      </c>
      <c r="E35" s="3">
        <v>67</v>
      </c>
      <c r="F35" s="4">
        <f t="shared" si="0"/>
        <v>1200</v>
      </c>
      <c r="G35" s="4">
        <f t="shared" si="1"/>
        <v>800</v>
      </c>
      <c r="H35" s="4">
        <f t="shared" si="2"/>
        <v>80400</v>
      </c>
      <c r="I35" s="5">
        <f t="shared" si="3"/>
        <v>26800</v>
      </c>
    </row>
    <row r="36" spans="1:9" x14ac:dyDescent="0.25">
      <c r="A36" s="2">
        <v>44069</v>
      </c>
      <c r="B36" t="s">
        <v>27</v>
      </c>
      <c r="C36" t="s">
        <v>15</v>
      </c>
      <c r="D36" t="s">
        <v>19</v>
      </c>
      <c r="E36" s="3">
        <v>149</v>
      </c>
      <c r="F36" s="4">
        <f t="shared" si="0"/>
        <v>1000</v>
      </c>
      <c r="G36" s="4">
        <f t="shared" si="1"/>
        <v>700</v>
      </c>
      <c r="H36" s="4">
        <f t="shared" si="2"/>
        <v>149000</v>
      </c>
      <c r="I36" s="5">
        <f t="shared" si="3"/>
        <v>44700</v>
      </c>
    </row>
    <row r="37" spans="1:9" x14ac:dyDescent="0.25">
      <c r="A37" s="2">
        <v>44378</v>
      </c>
      <c r="B37" t="s">
        <v>20</v>
      </c>
      <c r="C37" t="s">
        <v>18</v>
      </c>
      <c r="D37" t="s">
        <v>26</v>
      </c>
      <c r="E37" s="3">
        <v>104</v>
      </c>
      <c r="F37" s="4">
        <f t="shared" si="0"/>
        <v>600</v>
      </c>
      <c r="G37" s="4">
        <f t="shared" si="1"/>
        <v>400</v>
      </c>
      <c r="H37" s="4">
        <f t="shared" si="2"/>
        <v>62400</v>
      </c>
      <c r="I37" s="5">
        <f t="shared" si="3"/>
        <v>20800</v>
      </c>
    </row>
    <row r="38" spans="1:9" x14ac:dyDescent="0.25">
      <c r="A38" s="2">
        <v>44404</v>
      </c>
      <c r="B38" t="s">
        <v>24</v>
      </c>
      <c r="C38" t="s">
        <v>9</v>
      </c>
      <c r="D38" t="s">
        <v>26</v>
      </c>
      <c r="E38" s="3">
        <v>57</v>
      </c>
      <c r="F38" s="4">
        <f t="shared" si="0"/>
        <v>600</v>
      </c>
      <c r="G38" s="4">
        <f t="shared" si="1"/>
        <v>400</v>
      </c>
      <c r="H38" s="4">
        <f t="shared" si="2"/>
        <v>34200</v>
      </c>
      <c r="I38" s="5">
        <f t="shared" si="3"/>
        <v>11400</v>
      </c>
    </row>
    <row r="39" spans="1:9" x14ac:dyDescent="0.25">
      <c r="A39" s="2">
        <v>44109</v>
      </c>
      <c r="B39" t="s">
        <v>14</v>
      </c>
      <c r="C39" t="s">
        <v>12</v>
      </c>
      <c r="D39" t="s">
        <v>26</v>
      </c>
      <c r="E39" s="3">
        <v>90</v>
      </c>
      <c r="F39" s="4">
        <f t="shared" si="0"/>
        <v>600</v>
      </c>
      <c r="G39" s="4">
        <f t="shared" si="1"/>
        <v>400</v>
      </c>
      <c r="H39" s="4">
        <f t="shared" si="2"/>
        <v>54000</v>
      </c>
      <c r="I39" s="5">
        <f t="shared" si="3"/>
        <v>18000</v>
      </c>
    </row>
    <row r="40" spans="1:9" x14ac:dyDescent="0.25">
      <c r="A40" s="2">
        <v>44076</v>
      </c>
      <c r="B40" t="s">
        <v>22</v>
      </c>
      <c r="C40" t="s">
        <v>15</v>
      </c>
      <c r="D40" t="s">
        <v>26</v>
      </c>
      <c r="E40" s="3">
        <v>67</v>
      </c>
      <c r="F40" s="4">
        <f t="shared" si="0"/>
        <v>600</v>
      </c>
      <c r="G40" s="4">
        <f t="shared" si="1"/>
        <v>400</v>
      </c>
      <c r="H40" s="4">
        <f t="shared" si="2"/>
        <v>40200</v>
      </c>
      <c r="I40" s="5">
        <f t="shared" si="3"/>
        <v>13400</v>
      </c>
    </row>
    <row r="41" spans="1:9" x14ac:dyDescent="0.25">
      <c r="A41" s="2">
        <v>44441</v>
      </c>
      <c r="B41" t="s">
        <v>8</v>
      </c>
      <c r="C41" t="s">
        <v>18</v>
      </c>
      <c r="D41" t="s">
        <v>21</v>
      </c>
      <c r="E41" s="3">
        <v>127</v>
      </c>
      <c r="F41" s="4">
        <f t="shared" si="0"/>
        <v>4000</v>
      </c>
      <c r="G41" s="4">
        <f t="shared" si="1"/>
        <v>3000</v>
      </c>
      <c r="H41" s="4">
        <f t="shared" si="2"/>
        <v>508000</v>
      </c>
      <c r="I41" s="5">
        <f t="shared" si="3"/>
        <v>127000</v>
      </c>
    </row>
    <row r="42" spans="1:9" x14ac:dyDescent="0.25">
      <c r="A42" s="2">
        <v>44299</v>
      </c>
      <c r="B42" t="s">
        <v>22</v>
      </c>
      <c r="C42" t="s">
        <v>9</v>
      </c>
      <c r="D42" t="s">
        <v>19</v>
      </c>
      <c r="E42" s="3">
        <v>108</v>
      </c>
      <c r="F42" s="4">
        <f t="shared" si="0"/>
        <v>1000</v>
      </c>
      <c r="G42" s="4">
        <f t="shared" si="1"/>
        <v>700</v>
      </c>
      <c r="H42" s="4">
        <f t="shared" si="2"/>
        <v>108000</v>
      </c>
      <c r="I42" s="5">
        <f t="shared" si="3"/>
        <v>32400</v>
      </c>
    </row>
    <row r="43" spans="1:9" x14ac:dyDescent="0.25">
      <c r="A43" s="2">
        <v>44322</v>
      </c>
      <c r="B43" t="s">
        <v>14</v>
      </c>
      <c r="C43" t="s">
        <v>12</v>
      </c>
      <c r="D43" t="s">
        <v>13</v>
      </c>
      <c r="E43" s="3">
        <v>66</v>
      </c>
      <c r="F43" s="4">
        <f t="shared" si="0"/>
        <v>3500</v>
      </c>
      <c r="G43" s="4">
        <f t="shared" si="1"/>
        <v>2500</v>
      </c>
      <c r="H43" s="4">
        <f t="shared" si="2"/>
        <v>231000</v>
      </c>
      <c r="I43" s="5">
        <f t="shared" si="3"/>
        <v>66000</v>
      </c>
    </row>
    <row r="44" spans="1:9" x14ac:dyDescent="0.25">
      <c r="A44" s="2">
        <v>44211</v>
      </c>
      <c r="B44" t="s">
        <v>8</v>
      </c>
      <c r="C44" t="s">
        <v>18</v>
      </c>
      <c r="D44" t="s">
        <v>10</v>
      </c>
      <c r="E44" s="3">
        <v>78</v>
      </c>
      <c r="F44" s="4">
        <f t="shared" si="0"/>
        <v>6000</v>
      </c>
      <c r="G44" s="4">
        <f t="shared" si="1"/>
        <v>4000</v>
      </c>
      <c r="H44" s="4">
        <f t="shared" si="2"/>
        <v>468000</v>
      </c>
      <c r="I44" s="5">
        <f t="shared" si="3"/>
        <v>156000</v>
      </c>
    </row>
    <row r="45" spans="1:9" x14ac:dyDescent="0.25">
      <c r="A45" s="2">
        <v>44070</v>
      </c>
      <c r="B45" t="s">
        <v>24</v>
      </c>
      <c r="C45" t="s">
        <v>15</v>
      </c>
      <c r="D45" t="s">
        <v>19</v>
      </c>
      <c r="E45" s="3">
        <v>69</v>
      </c>
      <c r="F45" s="4">
        <f t="shared" si="0"/>
        <v>1000</v>
      </c>
      <c r="G45" s="4">
        <f t="shared" si="1"/>
        <v>700</v>
      </c>
      <c r="H45" s="4">
        <f t="shared" si="2"/>
        <v>69000</v>
      </c>
      <c r="I45" s="5">
        <f t="shared" si="3"/>
        <v>20700</v>
      </c>
    </row>
    <row r="46" spans="1:9" x14ac:dyDescent="0.25">
      <c r="A46" s="2">
        <v>44232</v>
      </c>
      <c r="B46" t="s">
        <v>20</v>
      </c>
      <c r="C46" t="s">
        <v>9</v>
      </c>
      <c r="D46" t="s">
        <v>16</v>
      </c>
      <c r="E46" s="3">
        <v>59</v>
      </c>
      <c r="F46" s="4">
        <f t="shared" si="0"/>
        <v>1200</v>
      </c>
      <c r="G46" s="4">
        <f t="shared" si="1"/>
        <v>800</v>
      </c>
      <c r="H46" s="4">
        <f t="shared" si="2"/>
        <v>70800</v>
      </c>
      <c r="I46" s="5">
        <f t="shared" si="3"/>
        <v>23600</v>
      </c>
    </row>
    <row r="47" spans="1:9" x14ac:dyDescent="0.25">
      <c r="A47" s="2">
        <v>44517</v>
      </c>
      <c r="B47" t="s">
        <v>27</v>
      </c>
      <c r="C47" t="s">
        <v>15</v>
      </c>
      <c r="D47" t="s">
        <v>26</v>
      </c>
      <c r="E47" s="3">
        <v>109</v>
      </c>
      <c r="F47" s="4">
        <f t="shared" si="0"/>
        <v>600</v>
      </c>
      <c r="G47" s="4">
        <f t="shared" si="1"/>
        <v>400</v>
      </c>
      <c r="H47" s="4">
        <f t="shared" si="2"/>
        <v>65400</v>
      </c>
      <c r="I47" s="5">
        <f t="shared" si="3"/>
        <v>21800</v>
      </c>
    </row>
    <row r="48" spans="1:9" x14ac:dyDescent="0.25">
      <c r="A48" s="2">
        <v>44193</v>
      </c>
      <c r="B48" t="s">
        <v>25</v>
      </c>
      <c r="C48" t="s">
        <v>12</v>
      </c>
      <c r="D48" t="s">
        <v>21</v>
      </c>
      <c r="E48" s="3">
        <v>61</v>
      </c>
      <c r="F48" s="4">
        <f t="shared" si="0"/>
        <v>4000</v>
      </c>
      <c r="G48" s="4">
        <f t="shared" si="1"/>
        <v>3000</v>
      </c>
      <c r="H48" s="4">
        <f t="shared" si="2"/>
        <v>244000</v>
      </c>
      <c r="I48" s="5">
        <f t="shared" si="3"/>
        <v>61000</v>
      </c>
    </row>
    <row r="49" spans="1:9" x14ac:dyDescent="0.25">
      <c r="A49" s="2">
        <v>44496</v>
      </c>
      <c r="B49" t="s">
        <v>20</v>
      </c>
      <c r="C49" t="s">
        <v>18</v>
      </c>
      <c r="D49" t="s">
        <v>26</v>
      </c>
      <c r="E49" s="3">
        <v>130</v>
      </c>
      <c r="F49" s="4">
        <f t="shared" si="0"/>
        <v>600</v>
      </c>
      <c r="G49" s="4">
        <f t="shared" si="1"/>
        <v>400</v>
      </c>
      <c r="H49" s="4">
        <f t="shared" si="2"/>
        <v>78000</v>
      </c>
      <c r="I49" s="5">
        <f t="shared" si="3"/>
        <v>26000</v>
      </c>
    </row>
    <row r="50" spans="1:9" x14ac:dyDescent="0.25">
      <c r="A50" s="2">
        <v>44502</v>
      </c>
      <c r="B50" t="s">
        <v>17</v>
      </c>
      <c r="C50" t="s">
        <v>15</v>
      </c>
      <c r="D50" t="s">
        <v>13</v>
      </c>
      <c r="E50" s="3">
        <v>60</v>
      </c>
      <c r="F50" s="4">
        <f t="shared" si="0"/>
        <v>3500</v>
      </c>
      <c r="G50" s="4">
        <f t="shared" si="1"/>
        <v>2500</v>
      </c>
      <c r="H50" s="4">
        <f t="shared" si="2"/>
        <v>210000</v>
      </c>
      <c r="I50" s="5">
        <f t="shared" si="3"/>
        <v>60000</v>
      </c>
    </row>
    <row r="51" spans="1:9" x14ac:dyDescent="0.25">
      <c r="A51" s="2">
        <v>43958</v>
      </c>
      <c r="B51" t="s">
        <v>11</v>
      </c>
      <c r="C51" t="s">
        <v>12</v>
      </c>
      <c r="D51" t="s">
        <v>10</v>
      </c>
      <c r="E51" s="3">
        <v>73</v>
      </c>
      <c r="F51" s="4">
        <f t="shared" si="0"/>
        <v>6000</v>
      </c>
      <c r="G51" s="4">
        <f t="shared" si="1"/>
        <v>4000</v>
      </c>
      <c r="H51" s="4">
        <f t="shared" si="2"/>
        <v>438000</v>
      </c>
      <c r="I51" s="5">
        <f t="shared" si="3"/>
        <v>146000</v>
      </c>
    </row>
    <row r="52" spans="1:9" x14ac:dyDescent="0.25">
      <c r="H52" s="5"/>
    </row>
    <row r="53" spans="1:9" x14ac:dyDescent="0.25">
      <c r="H5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3F09-5EF1-436D-BF08-21269D17FC63}">
  <dimension ref="A2:K13"/>
  <sheetViews>
    <sheetView topLeftCell="A28" workbookViewId="0">
      <selection activeCell="K2" sqref="K2"/>
    </sheetView>
  </sheetViews>
  <sheetFormatPr defaultRowHeight="15" x14ac:dyDescent="0.25"/>
  <cols>
    <col min="1" max="1" width="13.140625" bestFit="1" customWidth="1"/>
    <col min="2" max="2" width="17.28515625" bestFit="1" customWidth="1"/>
    <col min="4" max="4" width="13.140625" bestFit="1" customWidth="1"/>
    <col min="5" max="5" width="17.28515625" bestFit="1" customWidth="1"/>
    <col min="7" max="7" width="13.140625" bestFit="1" customWidth="1"/>
    <col min="8" max="8" width="16.42578125" bestFit="1" customWidth="1"/>
    <col min="9" max="9" width="11" customWidth="1"/>
    <col min="10" max="10" width="13.140625" bestFit="1" customWidth="1"/>
    <col min="11" max="11" width="17.28515625" bestFit="1" customWidth="1"/>
    <col min="12" max="12" width="13.42578125" bestFit="1" customWidth="1"/>
    <col min="13" max="13" width="17" bestFit="1" customWidth="1"/>
  </cols>
  <sheetData>
    <row r="2" spans="1:11" x14ac:dyDescent="0.25">
      <c r="A2" s="7" t="s">
        <v>34</v>
      </c>
      <c r="B2" t="s">
        <v>36</v>
      </c>
      <c r="D2" s="7" t="s">
        <v>34</v>
      </c>
      <c r="E2" t="s">
        <v>36</v>
      </c>
      <c r="G2" s="7" t="s">
        <v>34</v>
      </c>
      <c r="H2" t="s">
        <v>37</v>
      </c>
      <c r="J2" s="7" t="s">
        <v>34</v>
      </c>
      <c r="K2" t="s">
        <v>36</v>
      </c>
    </row>
    <row r="3" spans="1:11" x14ac:dyDescent="0.25">
      <c r="A3" s="3" t="s">
        <v>12</v>
      </c>
      <c r="B3" s="5">
        <v>3534400</v>
      </c>
      <c r="D3" s="3" t="s">
        <v>16</v>
      </c>
      <c r="E3" s="5">
        <v>547200</v>
      </c>
      <c r="G3" s="3" t="s">
        <v>16</v>
      </c>
      <c r="H3" s="9">
        <v>456</v>
      </c>
      <c r="J3" s="3" t="s">
        <v>8</v>
      </c>
      <c r="K3" s="5">
        <v>1591600</v>
      </c>
    </row>
    <row r="4" spans="1:11" x14ac:dyDescent="0.25">
      <c r="A4" s="3" t="s">
        <v>18</v>
      </c>
      <c r="B4" s="5">
        <v>2661400</v>
      </c>
      <c r="D4" s="3" t="s">
        <v>13</v>
      </c>
      <c r="E4" s="5">
        <v>2222500</v>
      </c>
      <c r="G4" s="3" t="s">
        <v>13</v>
      </c>
      <c r="H4" s="9">
        <v>635</v>
      </c>
      <c r="J4" s="3" t="s">
        <v>25</v>
      </c>
      <c r="K4" s="5">
        <v>677600</v>
      </c>
    </row>
    <row r="5" spans="1:11" x14ac:dyDescent="0.25">
      <c r="A5" s="3" t="s">
        <v>15</v>
      </c>
      <c r="B5" s="5">
        <v>2870600</v>
      </c>
      <c r="D5" s="3" t="s">
        <v>26</v>
      </c>
      <c r="E5" s="5">
        <v>706800</v>
      </c>
      <c r="G5" s="3" t="s">
        <v>26</v>
      </c>
      <c r="H5" s="9">
        <v>1178</v>
      </c>
      <c r="J5" s="3" t="s">
        <v>17</v>
      </c>
      <c r="K5" s="5">
        <v>1957000</v>
      </c>
    </row>
    <row r="6" spans="1:11" x14ac:dyDescent="0.25">
      <c r="A6" s="3" t="s">
        <v>9</v>
      </c>
      <c r="B6" s="5">
        <v>3878100</v>
      </c>
      <c r="D6" s="3" t="s">
        <v>19</v>
      </c>
      <c r="E6" s="5">
        <v>898000</v>
      </c>
      <c r="G6" s="3" t="s">
        <v>19</v>
      </c>
      <c r="H6" s="9">
        <v>898</v>
      </c>
      <c r="J6" s="3" t="s">
        <v>22</v>
      </c>
      <c r="K6" s="5">
        <v>1661400</v>
      </c>
    </row>
    <row r="7" spans="1:11" x14ac:dyDescent="0.25">
      <c r="A7" s="3" t="s">
        <v>35</v>
      </c>
      <c r="B7" s="5">
        <v>12944500</v>
      </c>
      <c r="D7" s="3" t="s">
        <v>28</v>
      </c>
      <c r="E7" s="5">
        <v>2350000</v>
      </c>
      <c r="G7" s="3" t="s">
        <v>28</v>
      </c>
      <c r="H7" s="9">
        <v>235</v>
      </c>
      <c r="J7" s="3" t="s">
        <v>24</v>
      </c>
      <c r="K7" s="5">
        <v>1741200</v>
      </c>
    </row>
    <row r="8" spans="1:11" x14ac:dyDescent="0.25">
      <c r="D8" s="3" t="s">
        <v>21</v>
      </c>
      <c r="E8" s="5">
        <v>3196000</v>
      </c>
      <c r="G8" s="3" t="s">
        <v>21</v>
      </c>
      <c r="H8" s="9">
        <v>799</v>
      </c>
      <c r="J8" s="3" t="s">
        <v>14</v>
      </c>
      <c r="K8" s="5">
        <v>1110000</v>
      </c>
    </row>
    <row r="9" spans="1:11" x14ac:dyDescent="0.25">
      <c r="D9" s="3" t="s">
        <v>10</v>
      </c>
      <c r="E9" s="5">
        <v>3024000</v>
      </c>
      <c r="G9" s="3" t="s">
        <v>10</v>
      </c>
      <c r="H9" s="9">
        <v>504</v>
      </c>
      <c r="J9" s="3" t="s">
        <v>11</v>
      </c>
      <c r="K9" s="5">
        <v>1777400</v>
      </c>
    </row>
    <row r="10" spans="1:11" x14ac:dyDescent="0.25">
      <c r="D10" s="3" t="s">
        <v>35</v>
      </c>
      <c r="E10" s="5">
        <v>12944500</v>
      </c>
      <c r="G10" s="3" t="s">
        <v>35</v>
      </c>
      <c r="H10" s="9">
        <v>4705</v>
      </c>
      <c r="J10" s="3" t="s">
        <v>20</v>
      </c>
      <c r="K10" s="5">
        <v>1065400</v>
      </c>
    </row>
    <row r="11" spans="1:11" x14ac:dyDescent="0.25">
      <c r="J11" s="3" t="s">
        <v>27</v>
      </c>
      <c r="K11" s="5">
        <v>784400</v>
      </c>
    </row>
    <row r="12" spans="1:11" x14ac:dyDescent="0.25">
      <c r="J12" s="3" t="s">
        <v>23</v>
      </c>
      <c r="K12" s="5">
        <v>578500</v>
      </c>
    </row>
    <row r="13" spans="1:11" x14ac:dyDescent="0.25">
      <c r="J13" s="3" t="s">
        <v>35</v>
      </c>
      <c r="K13" s="5">
        <v>12944500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5983-203B-403A-BBDA-98E434056B7E}">
  <dimension ref="A1"/>
  <sheetViews>
    <sheetView tabSelected="1" topLeftCell="A12" zoomScale="55" zoomScaleNormal="55" workbookViewId="0">
      <selection activeCell="Z34" sqref="Z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Beerus 7</cp:lastModifiedBy>
  <dcterms:created xsi:type="dcterms:W3CDTF">2024-05-30T14:35:02Z</dcterms:created>
  <dcterms:modified xsi:type="dcterms:W3CDTF">2026-10-09T08:18:58Z</dcterms:modified>
</cp:coreProperties>
</file>